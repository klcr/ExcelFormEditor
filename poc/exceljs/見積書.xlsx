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見積書" sheetId="1" state="visible" r:id="rId3"/>
  </sheets>
  <definedNames>
    <definedName function="false" hidden="false" localSheetId="0" name="_xlnm.Print_Area" vbProcedure="false">見積書!$A$1:$H$41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<sst xmlns="http://schemas.openxmlformats.org/spreadsheetml/2006/main" count="42" uniqueCount="40">
  <si>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御 見 積 書</t>
  </si>
  <si>
    <r>
      <rPr>
        <sz val="10"/>
        <rFont val="Noto Sans CJK SC"/>
        <family val="2"/>
      </rPr>
      <t xml:space="preserve">見積日</t>
    </r>
    <r>
      <rPr>
        <sz val="10"/>
        <rFont val="MS ゴシック"/>
        <family val="0"/>
        <charset val="1"/>
      </rPr>
      <t xml:space="preserve">:</t>
    </r>
  </si>
  <si>
    <r>
      <rPr>
        <sz val="10"/>
        <rFont val="MS ゴシック"/>
        <family val="0"/>
        <charset val="1"/>
      </rPr>
      <t xml:space="preserve">2026</t>
    </r>
    <r>
      <rPr>
        <sz val="10"/>
        <rFont val="Noto Sans CJK SC"/>
        <family val="2"/>
      </rPr>
      <t xml:space="preserve">年</t>
    </r>
    <r>
      <rPr>
        <sz val="10"/>
        <rFont val="MS ゴシック"/>
        <family val="0"/>
        <charset val="1"/>
      </rPr>
      <t xml:space="preserve">3</t>
    </r>
    <r>
      <rPr>
        <sz val="10"/>
        <rFont val="Noto Sans CJK SC"/>
        <family val="2"/>
      </rPr>
      <t xml:space="preserve">月</t>
    </r>
    <r>
      <rPr>
        <sz val="10"/>
        <rFont val="MS ゴシック"/>
        <family val="0"/>
        <charset val="1"/>
      </rPr>
      <t xml:space="preserve">6</t>
    </r>
    <r>
      <rPr>
        <sz val="10"/>
        <rFont val="Noto Sans CJK SC"/>
        <family val="2"/>
      </rPr>
      <t xml:space="preserve">日</t>
    </r>
  </si>
  <si>
    <r>
      <rPr>
        <sz val="10"/>
        <rFont val="Noto Sans CJK SC"/>
        <family val="2"/>
      </rPr>
      <t xml:space="preserve">見積番号</t>
    </r>
    <r>
      <rPr>
        <sz val="10"/>
        <rFont val="MS ゴシック"/>
        <family val="0"/>
        <charset val="1"/>
      </rPr>
      <t xml:space="preserve">:</t>
    </r>
  </si>
  <si>
    <t xml:space="preserve">EST-2026-0042</t>
  </si>
  <si>
    <t xml:space="preserve">株式会社サンプル商事</t>
  </si>
  <si>
    <t xml:space="preserve">株式会社テスト工業</t>
  </si>
  <si>
    <t xml:space="preserve">営業部  山田 太郎 様</t>
  </si>
  <si>
    <r>
      <rPr>
        <sz val="9"/>
        <rFont val="Noto Sans CJK SC"/>
        <family val="2"/>
      </rPr>
      <t xml:space="preserve">〒</t>
    </r>
    <r>
      <rPr>
        <sz val="9"/>
        <rFont val="MS ゴシック"/>
        <family val="0"/>
        <charset val="1"/>
      </rPr>
      <t xml:space="preserve">123-4567 </t>
    </r>
    <r>
      <rPr>
        <sz val="9"/>
        <rFont val="Noto Sans CJK SC"/>
        <family val="2"/>
      </rPr>
      <t xml:space="preserve">東京都千代田区丸の内</t>
    </r>
    <r>
      <rPr>
        <sz val="9"/>
        <rFont val="MS ゴシック"/>
        <family val="0"/>
        <charset val="1"/>
      </rPr>
      <t xml:space="preserve">1-1-1</t>
    </r>
  </si>
  <si>
    <t xml:space="preserve">TEL: 03-1234-5678 / FAX: 03-1234-5679</t>
  </si>
  <si>
    <t xml:space="preserve">御見積金額</t>
  </si>
  <si>
    <r>
      <rPr>
        <b val="true"/>
        <sz val="9"/>
        <rFont val="Noto Sans CJK SC"/>
        <family val="2"/>
      </rPr>
      <t xml:space="preserve">納入場所</t>
    </r>
    <r>
      <rPr>
        <b val="true"/>
        <sz val="9"/>
        <rFont val="MS ゴシック"/>
        <family val="0"/>
        <charset val="1"/>
      </rPr>
      <t xml:space="preserve">:</t>
    </r>
  </si>
  <si>
    <t xml:space="preserve">貴社指定場所</t>
  </si>
  <si>
    <r>
      <rPr>
        <b val="true"/>
        <sz val="9"/>
        <rFont val="Noto Sans CJK SC"/>
        <family val="2"/>
      </rPr>
      <t xml:space="preserve">支払条件</t>
    </r>
    <r>
      <rPr>
        <b val="true"/>
        <sz val="9"/>
        <rFont val="MS ゴシック"/>
        <family val="0"/>
        <charset val="1"/>
      </rPr>
      <t xml:space="preserve">:</t>
    </r>
  </si>
  <si>
    <t xml:space="preserve">末締め翌月末払い</t>
  </si>
  <si>
    <r>
      <rPr>
        <b val="true"/>
        <sz val="9"/>
        <rFont val="Noto Sans CJK SC"/>
        <family val="2"/>
      </rPr>
      <t xml:space="preserve">納入期日</t>
    </r>
    <r>
      <rPr>
        <b val="true"/>
        <sz val="9"/>
        <rFont val="MS ゴシック"/>
        <family val="0"/>
        <charset val="1"/>
      </rPr>
      <t xml:space="preserve">:</t>
    </r>
  </si>
  <si>
    <r>
      <rPr>
        <sz val="9"/>
        <rFont val="Noto Sans CJK SC"/>
        <family val="2"/>
      </rPr>
      <t xml:space="preserve">受注後</t>
    </r>
    <r>
      <rPr>
        <sz val="9"/>
        <rFont val="MS ゴシック"/>
        <family val="0"/>
        <charset val="1"/>
      </rPr>
      <t xml:space="preserve">2</t>
    </r>
    <r>
      <rPr>
        <sz val="9"/>
        <rFont val="Noto Sans CJK SC"/>
        <family val="2"/>
      </rPr>
      <t xml:space="preserve">週間以内</t>
    </r>
  </si>
  <si>
    <r>
      <rPr>
        <b val="true"/>
        <sz val="9"/>
        <rFont val="Noto Sans CJK SC"/>
        <family val="2"/>
      </rPr>
      <t xml:space="preserve">有効期限</t>
    </r>
    <r>
      <rPr>
        <b val="true"/>
        <sz val="9"/>
        <rFont val="MS ゴシック"/>
        <family val="0"/>
        <charset val="1"/>
      </rPr>
      <t xml:space="preserve">:</t>
    </r>
  </si>
  <si>
    <r>
      <rPr>
        <sz val="9"/>
        <rFont val="Noto Sans CJK SC"/>
        <family val="2"/>
      </rPr>
      <t xml:space="preserve">発行日より</t>
    </r>
    <r>
      <rPr>
        <sz val="9"/>
        <rFont val="MS ゴシック"/>
        <family val="0"/>
        <charset val="1"/>
      </rPr>
      <t xml:space="preserve">30</t>
    </r>
    <r>
      <rPr>
        <sz val="9"/>
        <rFont val="Noto Sans CJK SC"/>
        <family val="2"/>
      </rPr>
      <t xml:space="preserve">日間</t>
    </r>
  </si>
  <si>
    <t xml:space="preserve">No.</t>
  </si>
  <si>
    <t xml:space="preserve">品名・仕様</t>
  </si>
  <si>
    <t xml:space="preserve">数量</t>
  </si>
  <si>
    <t xml:space="preserve">単位</t>
  </si>
  <si>
    <t xml:space="preserve">単価</t>
  </si>
  <si>
    <t xml:space="preserve">金額</t>
  </si>
  <si>
    <r>
      <rPr>
        <sz val="10"/>
        <rFont val="Noto Sans CJK SC"/>
        <family val="2"/>
      </rPr>
      <t xml:space="preserve">ウィジェット</t>
    </r>
    <r>
      <rPr>
        <sz val="10"/>
        <rFont val="MS ゴシック"/>
        <family val="0"/>
        <charset val="1"/>
      </rPr>
      <t xml:space="preserve">A</t>
    </r>
    <r>
      <rPr>
        <sz val="10"/>
        <rFont val="Noto Sans CJK SC"/>
        <family val="2"/>
      </rPr>
      <t xml:space="preserve">（標準型）</t>
    </r>
  </si>
  <si>
    <t xml:space="preserve">個</t>
  </si>
  <si>
    <r>
      <rPr>
        <sz val="10"/>
        <rFont val="Noto Sans CJK SC"/>
        <family val="2"/>
      </rPr>
      <t xml:space="preserve">ウィジェット</t>
    </r>
    <r>
      <rPr>
        <sz val="10"/>
        <rFont val="MS ゴシック"/>
        <family val="0"/>
        <charset val="1"/>
      </rPr>
      <t xml:space="preserve">B</t>
    </r>
    <r>
      <rPr>
        <sz val="10"/>
        <rFont val="Noto Sans CJK SC"/>
        <family val="2"/>
      </rPr>
      <t xml:space="preserve">（高性能型）</t>
    </r>
  </si>
  <si>
    <t xml:space="preserve">取付金具セット</t>
  </si>
  <si>
    <t xml:space="preserve">セット</t>
  </si>
  <si>
    <r>
      <rPr>
        <sz val="10"/>
        <rFont val="Noto Sans CJK SC"/>
        <family val="2"/>
      </rPr>
      <t xml:space="preserve">専用ケーブル </t>
    </r>
    <r>
      <rPr>
        <sz val="10"/>
        <rFont val="MS ゴシック"/>
        <family val="0"/>
        <charset val="1"/>
      </rPr>
      <t xml:space="preserve">2m</t>
    </r>
  </si>
  <si>
    <t xml:space="preserve">本</t>
  </si>
  <si>
    <t xml:space="preserve">導入設定費</t>
  </si>
  <si>
    <t xml:space="preserve">式</t>
  </si>
  <si>
    <t xml:space="preserve">技術サポート（年間）</t>
  </si>
  <si>
    <t xml:space="preserve">小計</t>
  </si>
  <si>
    <r>
      <rPr>
        <sz val="10"/>
        <rFont val="Noto Sans CJK SC"/>
        <family val="2"/>
      </rPr>
      <t xml:space="preserve">消費税（</t>
    </r>
    <r>
      <rPr>
        <sz val="10"/>
        <rFont val="MS ゴシック"/>
        <family val="0"/>
        <charset val="1"/>
      </rPr>
      <t xml:space="preserve">10%</t>
    </r>
    <r>
      <rPr>
        <sz val="10"/>
        <rFont val="Noto Sans CJK SC"/>
        <family val="2"/>
      </rPr>
      <t xml:space="preserve">）</t>
    </r>
  </si>
  <si>
    <t xml:space="preserve">合計</t>
  </si>
  <si>
    <t xml:space="preserve">【備考】</t>
  </si>
  <si>
    <r>
      <rPr>
        <sz val="9"/>
        <rFont val="Noto Sans CJK SC"/>
        <family val="2"/>
      </rPr>
      <t xml:space="preserve">・上記金額には消費税（</t>
    </r>
    <r>
      <rPr>
        <sz val="9"/>
        <rFont val="MS ゴシック"/>
        <family val="0"/>
        <charset val="1"/>
      </rPr>
      <t xml:space="preserve">10%</t>
    </r>
    <r>
      <rPr>
        <sz val="9"/>
        <rFont val="Noto Sans CJK SC"/>
        <family val="2"/>
      </rPr>
      <t xml:space="preserve">）が含まれております。
・納入後の返品・交換は原則としてお受けできません。
・仕様変更の場合は別途お見積りいたします。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</si>
</sst>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¥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Noto Sans CJK SC"/>
      <family val="2"/>
    </font>
    <font>
      <sz val="10"/>
      <name val="Noto Sans CJK SC"/>
      <family val="2"/>
    </font>
    <font>
      <sz val="10"/>
      <name val="MS ゴシック"/>
      <family val="0"/>
      <charset val="1"/>
    </font>
    <font>
      <b val="true"/>
      <sz val="12"/>
      <name val="Noto Sans CJK SC"/>
      <family val="2"/>
    </font>
    <font>
      <sz val="9"/>
      <name val="Noto Sans CJK SC"/>
      <family val="2"/>
    </font>
    <font>
      <sz val="9"/>
      <name val="MS ゴシック"/>
      <family val="0"/>
      <charset val="1"/>
    </font>
    <font>
      <b val="true"/>
      <sz val="14"/>
      <name val="MS ゴシック"/>
      <family val="0"/>
      <charset val="1"/>
    </font>
    <font>
      <b val="true"/>
      <sz val="9"/>
      <name val="Noto Sans CJK SC"/>
      <family val="2"/>
    </font>
    <font>
      <b val="true"/>
      <sz val="9"/>
      <name val="MS ゴシック"/>
      <family val="0"/>
      <charset val="1"/>
    </font>
    <font>
      <b val="true"/>
      <sz val="10"/>
      <name val="MS ゴシック"/>
      <family val="0"/>
      <charset val="1"/>
    </font>
    <font>
      <b val="true"/>
      <sz val="10"/>
      <name val="Noto Sans CJK SC"/>
      <family val="2"/>
    </font>
    <font>
      <b val="true"/>
      <sz val="11"/>
      <name val="Noto Sans CJK SC"/>
      <family val="2"/>
    </font>
    <font>
      <b val="true"/>
      <sz val="11"/>
      <name val="MS ゴシック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4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</row>
    <row r="4" customFormat="false" ht="19.5" hidden="false" customHeight="true" outlineLevel="0" collapsed="false">
      <c r="E4" s="2" t="s">
        <v>1</v>
      </c>
      <c r="F4" s="2"/>
      <c r="G4" s="3" t="s">
        <v>2</v>
      </c>
    </row>
    <row r="5" customFormat="false" ht="19.5" hidden="false" customHeight="true" outlineLevel="0" collapsed="false">
      <c r="E5" s="2" t="s">
        <v>3</v>
      </c>
      <c r="F5" s="2"/>
      <c r="G5" s="3" t="s">
        <v>4</v>
      </c>
    </row>
    <row r="7" customFormat="false" ht="27.75" hidden="false" customHeight="true" outlineLevel="0" collapsed="false">
      <c r="B7" s="4" t="s">
        <v>5</v>
      </c>
      <c r="C7" s="4"/>
      <c r="D7" s="4"/>
      <c r="E7" s="5" t="s">
        <v>6</v>
      </c>
      <c r="F7" s="5"/>
      <c r="G7" s="5"/>
    </row>
    <row r="8" customFormat="false" ht="15" hidden="false" customHeight="false" outlineLevel="0" collapsed="false">
      <c r="B8" s="6" t="s">
        <v>7</v>
      </c>
      <c r="C8" s="6"/>
      <c r="D8" s="6"/>
      <c r="E8" s="7" t="s">
        <v>8</v>
      </c>
      <c r="F8" s="7"/>
      <c r="G8" s="7"/>
    </row>
    <row r="9" customFormat="false" ht="6" hidden="false" customHeight="true" outlineLevel="0" collapsed="false">
      <c r="E9" s="8" t="s">
        <v>9</v>
      </c>
      <c r="F9" s="8"/>
      <c r="G9" s="8"/>
    </row>
    <row r="11" customFormat="false" ht="31.5" hidden="false" customHeight="true" outlineLevel="0" collapsed="false">
      <c r="B11" s="9" t="s">
        <v>10</v>
      </c>
      <c r="C11" s="9"/>
      <c r="D11" s="10" t="str">
        <f aca="false">TEXT(G35,"¥#,##0")&amp;"－（税込）"</f>
        <v>¥709,500－（税込）</v>
      </c>
      <c r="E11" s="10"/>
      <c r="F11" s="10"/>
      <c r="G11" s="10"/>
    </row>
    <row r="13" customFormat="false" ht="19.5" hidden="false" customHeight="true" outlineLevel="0" collapsed="false">
      <c r="B13" s="11" t="s">
        <v>11</v>
      </c>
      <c r="C13" s="12" t="s">
        <v>12</v>
      </c>
      <c r="D13" s="12"/>
      <c r="E13" s="11" t="s">
        <v>13</v>
      </c>
      <c r="F13" s="12" t="s">
        <v>14</v>
      </c>
      <c r="G13" s="12"/>
    </row>
    <row r="14" customFormat="false" ht="19.5" hidden="false" customHeight="true" outlineLevel="0" collapsed="false">
      <c r="B14" s="11" t="s">
        <v>15</v>
      </c>
      <c r="C14" s="12" t="s">
        <v>16</v>
      </c>
      <c r="D14" s="12"/>
      <c r="E14" s="11" t="s">
        <v>17</v>
      </c>
      <c r="F14" s="12" t="s">
        <v>18</v>
      </c>
      <c r="G14" s="12"/>
    </row>
    <row r="16" customFormat="false" ht="7.5" hidden="false" customHeight="true" outlineLevel="0" collapsed="false"/>
    <row r="17" customFormat="false" ht="24" hidden="false" customHeight="true" outlineLevel="0" collapsed="false">
      <c r="B17" s="13" t="s">
        <v>19</v>
      </c>
      <c r="C17" s="14" t="s">
        <v>20</v>
      </c>
      <c r="D17" s="14" t="s">
        <v>21</v>
      </c>
      <c r="E17" s="14" t="s">
        <v>22</v>
      </c>
      <c r="F17" s="14" t="s">
        <v>23</v>
      </c>
      <c r="G17" s="15" t="s">
        <v>24</v>
      </c>
    </row>
    <row r="18" customFormat="false" ht="19.5" hidden="false" customHeight="true" outlineLevel="0" collapsed="false">
      <c r="B18" s="16" t="n">
        <v>1</v>
      </c>
      <c r="C18" s="17" t="s">
        <v>25</v>
      </c>
      <c r="D18" s="18" t="n">
        <v>100</v>
      </c>
      <c r="E18" s="19" t="s">
        <v>26</v>
      </c>
      <c r="F18" s="18" t="n">
        <v>1500</v>
      </c>
      <c r="G18" s="20" t="n">
        <f aca="false">D18*F18</f>
        <v>150000</v>
      </c>
    </row>
    <row r="19" customFormat="false" ht="19.5" hidden="false" customHeight="true" outlineLevel="0" collapsed="false">
      <c r="B19" s="16" t="n">
        <v>2</v>
      </c>
      <c r="C19" s="17" t="s">
        <v>27</v>
      </c>
      <c r="D19" s="18" t="n">
        <v>50</v>
      </c>
      <c r="E19" s="19" t="s">
        <v>26</v>
      </c>
      <c r="F19" s="18" t="n">
        <v>3200</v>
      </c>
      <c r="G19" s="20" t="n">
        <f aca="false">D19*F19</f>
        <v>160000</v>
      </c>
    </row>
    <row r="20" customFormat="false" ht="19.5" hidden="false" customHeight="true" outlineLevel="0" collapsed="false">
      <c r="B20" s="16" t="n">
        <v>3</v>
      </c>
      <c r="C20" s="17" t="s">
        <v>28</v>
      </c>
      <c r="D20" s="18" t="n">
        <v>100</v>
      </c>
      <c r="E20" s="19" t="s">
        <v>29</v>
      </c>
      <c r="F20" s="18" t="n">
        <v>450</v>
      </c>
      <c r="G20" s="20" t="n">
        <f aca="false">D20*F20</f>
        <v>45000</v>
      </c>
    </row>
    <row r="21" customFormat="false" ht="19.5" hidden="false" customHeight="true" outlineLevel="0" collapsed="false">
      <c r="B21" s="16" t="n">
        <v>4</v>
      </c>
      <c r="C21" s="17" t="s">
        <v>30</v>
      </c>
      <c r="D21" s="18" t="n">
        <v>150</v>
      </c>
      <c r="E21" s="19" t="s">
        <v>31</v>
      </c>
      <c r="F21" s="18" t="n">
        <v>800</v>
      </c>
      <c r="G21" s="20" t="n">
        <f aca="false">D21*F21</f>
        <v>120000</v>
      </c>
    </row>
    <row r="22" customFormat="false" ht="19.5" hidden="false" customHeight="true" outlineLevel="0" collapsed="false">
      <c r="B22" s="16" t="n">
        <v>5</v>
      </c>
      <c r="C22" s="17" t="s">
        <v>32</v>
      </c>
      <c r="D22" s="18" t="n">
        <v>1</v>
      </c>
      <c r="E22" s="19" t="s">
        <v>33</v>
      </c>
      <c r="F22" s="18" t="n">
        <v>50000</v>
      </c>
      <c r="G22" s="20" t="n">
        <f aca="false">D22*F22</f>
        <v>50000</v>
      </c>
    </row>
    <row r="23" customFormat="false" ht="19.5" hidden="false" customHeight="true" outlineLevel="0" collapsed="false">
      <c r="B23" s="16" t="n">
        <v>6</v>
      </c>
      <c r="C23" s="17" t="s">
        <v>34</v>
      </c>
      <c r="D23" s="18" t="n">
        <v>1</v>
      </c>
      <c r="E23" s="19" t="s">
        <v>33</v>
      </c>
      <c r="F23" s="18" t="n">
        <v>120000</v>
      </c>
      <c r="G23" s="20" t="n">
        <f aca="false">D23*F23</f>
        <v>120000</v>
      </c>
    </row>
    <row r="24" customFormat="false" ht="19.5" hidden="false" customHeight="true" outlineLevel="0" collapsed="false">
      <c r="B24" s="21"/>
      <c r="C24" s="22"/>
      <c r="D24" s="22"/>
      <c r="E24" s="22"/>
      <c r="F24" s="22"/>
      <c r="G24" s="23"/>
    </row>
    <row r="25" customFormat="false" ht="19.5" hidden="false" customHeight="true" outlineLevel="0" collapsed="false">
      <c r="B25" s="21"/>
      <c r="C25" s="22"/>
      <c r="D25" s="22"/>
      <c r="E25" s="22"/>
      <c r="F25" s="22"/>
      <c r="G25" s="23"/>
    </row>
    <row r="26" customFormat="false" ht="19.5" hidden="false" customHeight="true" outlineLevel="0" collapsed="false">
      <c r="B26" s="21"/>
      <c r="C26" s="22"/>
      <c r="D26" s="22"/>
      <c r="E26" s="22"/>
      <c r="F26" s="22"/>
      <c r="G26" s="23"/>
    </row>
    <row r="27" customFormat="false" ht="19.5" hidden="false" customHeight="true" outlineLevel="0" collapsed="false">
      <c r="B27" s="21"/>
      <c r="C27" s="22"/>
      <c r="D27" s="22"/>
      <c r="E27" s="22"/>
      <c r="F27" s="22"/>
      <c r="G27" s="23"/>
    </row>
    <row r="28" customFormat="false" ht="19.5" hidden="false" customHeight="true" outlineLevel="0" collapsed="false">
      <c r="B28" s="21"/>
      <c r="C28" s="22"/>
      <c r="D28" s="22"/>
      <c r="E28" s="22"/>
      <c r="F28" s="22"/>
      <c r="G28" s="23"/>
    </row>
    <row r="29" customFormat="false" ht="19.5" hidden="false" customHeight="true" outlineLevel="0" collapsed="false">
      <c r="B29" s="21"/>
      <c r="C29" s="22"/>
      <c r="D29" s="22"/>
      <c r="E29" s="22"/>
      <c r="F29" s="22"/>
      <c r="G29" s="23"/>
    </row>
    <row r="30" customFormat="false" ht="19.5" hidden="false" customHeight="true" outlineLevel="0" collapsed="false">
      <c r="B30" s="21"/>
      <c r="C30" s="22"/>
      <c r="D30" s="22"/>
      <c r="E30" s="22"/>
      <c r="F30" s="22"/>
      <c r="G30" s="23"/>
    </row>
    <row r="31" customFormat="false" ht="19.5" hidden="false" customHeight="true" outlineLevel="0" collapsed="false">
      <c r="B31" s="21"/>
      <c r="C31" s="22"/>
      <c r="D31" s="22"/>
      <c r="E31" s="22"/>
      <c r="F31" s="22"/>
      <c r="G31" s="23"/>
    </row>
    <row r="32" customFormat="false" ht="19.5" hidden="false" customHeight="true" outlineLevel="0" collapsed="false">
      <c r="B32" s="21"/>
      <c r="C32" s="22"/>
      <c r="D32" s="22"/>
      <c r="E32" s="22"/>
      <c r="F32" s="22"/>
      <c r="G32" s="23"/>
    </row>
    <row r="33" customFormat="false" ht="21.75" hidden="false" customHeight="true" outlineLevel="0" collapsed="false">
      <c r="B33" s="24" t="s">
        <v>35</v>
      </c>
      <c r="C33" s="24"/>
      <c r="D33" s="24"/>
      <c r="E33" s="24"/>
      <c r="F33" s="24"/>
      <c r="G33" s="25" t="n">
        <f aca="false">SUM(G18:G32)</f>
        <v>645000</v>
      </c>
    </row>
    <row r="34" customFormat="false" ht="21.75" hidden="false" customHeight="true" outlineLevel="0" collapsed="false">
      <c r="B34" s="26" t="s">
        <v>36</v>
      </c>
      <c r="C34" s="26"/>
      <c r="D34" s="26"/>
      <c r="E34" s="26"/>
      <c r="F34" s="26"/>
      <c r="G34" s="27" t="n">
        <f aca="false">G33*0.1</f>
        <v>64500</v>
      </c>
    </row>
    <row r="35" customFormat="false" ht="21.75" hidden="false" customHeight="true" outlineLevel="0" collapsed="false">
      <c r="B35" s="28" t="s">
        <v>37</v>
      </c>
      <c r="C35" s="28"/>
      <c r="D35" s="28"/>
      <c r="E35" s="28"/>
      <c r="F35" s="28"/>
      <c r="G35" s="29" t="n">
        <f aca="false">G33+G34</f>
        <v>709500</v>
      </c>
    </row>
    <row r="37" customFormat="false" ht="19.5" hidden="false" customHeight="true" outlineLevel="0" collapsed="false">
      <c r="B37" s="30" t="s">
        <v>38</v>
      </c>
      <c r="C37" s="30"/>
      <c r="D37" s="30"/>
      <c r="E37" s="30"/>
      <c r="F37" s="30"/>
      <c r="G37" s="30"/>
    </row>
    <row r="38" customFormat="false" ht="15" hidden="false" customHeight="true" outlineLevel="0" collapsed="false">
      <c r="B38" s="31" t="s">
        <v>39</v>
      </c>
      <c r="C38" s="31"/>
      <c r="D38" s="31"/>
      <c r="E38" s="31"/>
      <c r="F38" s="31"/>
      <c r="G38" s="31"/>
    </row>
    <row r="39" customFormat="false" ht="15" hidden="false" customHeight="false" outlineLevel="0" collapsed="false">
      <c r="B39" s="31"/>
      <c r="C39" s="31"/>
      <c r="D39" s="31"/>
      <c r="E39" s="31"/>
      <c r="F39" s="31"/>
      <c r="G39" s="31"/>
    </row>
    <row r="40" customFormat="false" ht="15" hidden="false" customHeight="false" outlineLevel="0" collapsed="false">
      <c r="B40" s="31"/>
      <c r="C40" s="31"/>
      <c r="D40" s="31"/>
      <c r="E40" s="31"/>
      <c r="F40" s="31"/>
      <c r="G40" s="31"/>
    </row>
    <row r="42" customFormat="false" ht="7.5" hidden="false" customHeight="true" outlineLevel="0" collapsed="false"/>
  </sheetData>
  <mergeCells count="19">
    <mergeCell ref="B2:G2"/>
    <mergeCell ref="E4:F4"/>
    <mergeCell ref="E5:F5"/>
    <mergeCell ref="B7:D7"/>
    <mergeCell ref="E7:G7"/>
    <mergeCell ref="B8:D8"/>
    <mergeCell ref="E8:G8"/>
    <mergeCell ref="E9:G9"/>
    <mergeCell ref="B11:C11"/>
    <mergeCell ref="D11:G11"/>
    <mergeCell ref="C13:D13"/>
    <mergeCell ref="F13:G13"/>
    <mergeCell ref="C14:D14"/>
    <mergeCell ref="F14:G14"/>
    <mergeCell ref="B33:F33"/>
    <mergeCell ref="B34:F34"/>
    <mergeCell ref="B35:F35"/>
    <mergeCell ref="B37:G37"/>
    <mergeCell ref="B38:G40"/>
  </mergeCells>
  <printOptions headings="false" gridLines="false" gridLinesSet="true" horizontalCentered="false" verticalCentered="false"/>
  <pageMargins left="0.6" right="0.6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2026-03-06T11:24:54Z</dcterms:created>
  <dc:creator>openpyxl</dc:creator>
  <dc:description/>
  <dc:language>en-US</dc:language>
  <cp:lastModifiedBy/>
  <dcterms:modified xsi:type="dcterms:W3CDTF">2026-03-06T11:24:54Z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
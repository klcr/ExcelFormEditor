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24226"/>
  <xr:revisionPtr revIDLastSave="0" documentId="13_ncr:1_{63A2BB38-3D9B-4CEB-A831-1106F30F10E1}" xr6:coauthVersionLast="47" xr6:coauthVersionMax="47" xr10:uidLastSave="{00000000-0000-0000-0000-000000000000}"/>
  <bookViews>
    <workbookView xWindow="1095" yWindow="1845" windowWidth="12630" windowHeight="12945" firstSheet="1" activeTab="1" xr2:uid="{00000000-000D-0000-FFFF-FFFF00000000}"/>
  </bookViews>
  <sheets>
    <sheet name="様式電⑧-2電圧降下（分岐）" sheetId="3" state="hidden" r:id="rId1"/>
    <sheet name="電圧降下" sheetId="8" r:id="rId2"/>
    <sheet name="長さ" sheetId="6" r:id="rId3"/>
    <sheet name="ラック" sheetId="9" r:id="rId4"/>
    <sheet name="亘長" sheetId="4" state="hidden" r:id="rId5"/>
  </sheets>
  <definedNames>
    <definedName name="_xlnm.Print_Area" localSheetId="3">ラック!$A$1:$R$30</definedName>
    <definedName name="_xlnm.Print_Area" localSheetId="1">電圧降下!$A$29:$AA$241</definedName>
    <definedName name="_xlnm.Print_Area" localSheetId="0">'様式電⑧-2電圧降下（分岐）'!$A$1:$U$88</definedName>
    <definedName name="_xlnm.Print_Titles" localSheetId="3">ラック!$1:$3</definedName>
    <definedName name="_xlnm.Print_Titles" localSheetId="1">電圧降下!$29:$35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E10" i="9"/>
  <c r="E11" i="9"/>
  <c r="E12" i="9"/>
  <c r="E13" i="9"/>
  <c r="E14" i="9"/>
  <c r="D10" i="9"/>
  <c r="D11" i="9"/>
  <c r="D12" i="9"/>
  <c r="D13" i="9"/>
  <c r="D14" i="9"/>
  <c r="C10" i="9"/>
  <c r="C11" i="9"/>
  <c r="C12" i="9"/>
  <c r="C13" i="9"/>
  <c r="C14" i="9"/>
  <c r="E6" i="9"/>
  <c r="E7" i="9"/>
  <c r="E8" i="9"/>
  <c r="E9" i="9"/>
  <c r="D6" i="9"/>
  <c r="D7" i="9"/>
  <c r="D8" i="9"/>
  <c r="D9" i="9"/>
  <c r="C6" i="9"/>
  <c r="C7" i="9"/>
  <c r="C8" i="9"/>
  <c r="C9" i="9"/>
  <c r="E5" i="9"/>
  <c r="D5" i="9"/>
  <c r="C5" i="9"/>
  <c r="Z124" i="8"/>
  <c r="AF88" i="8"/>
  <c r="AF84" i="8"/>
  <c r="AF80" i="8"/>
  <c r="AF76" i="8"/>
  <c r="AF72" i="8"/>
  <c r="AF68" i="8"/>
  <c r="AF64" i="8"/>
  <c r="AF60" i="8"/>
  <c r="AF48" i="8"/>
  <c r="AF44" i="8"/>
  <c r="O167" i="8"/>
  <c r="Z167" i="8" l="1"/>
  <c r="X167" i="8"/>
  <c r="Y167" i="8" s="1"/>
  <c r="S167" i="8"/>
  <c r="U167" i="8" s="1"/>
  <c r="N167" i="8"/>
  <c r="M108" i="8"/>
  <c r="O108" i="8"/>
  <c r="I104" i="8"/>
  <c r="I116" i="8"/>
  <c r="I120" i="8"/>
  <c r="I124" i="8" s="1"/>
  <c r="Z120" i="8"/>
  <c r="Z112" i="8"/>
  <c r="Z108" i="8"/>
  <c r="Z100" i="8"/>
  <c r="Z96" i="8"/>
  <c r="U120" i="8"/>
  <c r="Y100" i="8"/>
  <c r="U100" i="8"/>
  <c r="Y112" i="8"/>
  <c r="U96" i="8"/>
  <c r="O120" i="8"/>
  <c r="O112" i="8"/>
  <c r="O100" i="8"/>
  <c r="M96" i="8"/>
  <c r="O96" i="8" s="1"/>
  <c r="I80" i="8"/>
  <c r="Z80" i="8" s="1"/>
  <c r="Z68" i="8"/>
  <c r="J86" i="8"/>
  <c r="J66" i="8"/>
  <c r="J78" i="8"/>
  <c r="Y96" i="8" l="1"/>
  <c r="Q108" i="8"/>
  <c r="Y120" i="8"/>
  <c r="U112" i="8"/>
  <c r="Y104" i="8" l="1"/>
  <c r="Y108" i="8"/>
  <c r="Y116" i="8" s="1"/>
  <c r="U108" i="8"/>
  <c r="Z64" i="8"/>
  <c r="X64" i="8"/>
  <c r="S64" i="8"/>
  <c r="U64" i="8" s="1"/>
  <c r="Z84" i="8"/>
  <c r="X84" i="8"/>
  <c r="S84" i="8"/>
  <c r="U84" i="8" s="1"/>
  <c r="Z76" i="8"/>
  <c r="X76" i="8"/>
  <c r="S76" i="8"/>
  <c r="U76" i="8" s="1"/>
  <c r="Z72" i="8"/>
  <c r="Q72" i="8"/>
  <c r="Z60" i="8"/>
  <c r="X60" i="8"/>
  <c r="S60" i="8"/>
  <c r="U60" i="8" s="1"/>
  <c r="O84" i="8"/>
  <c r="O76" i="8"/>
  <c r="O64" i="8"/>
  <c r="M72" i="8"/>
  <c r="I84" i="8"/>
  <c r="I88" i="8" s="1"/>
  <c r="Z88" i="8" s="1"/>
  <c r="O151" i="8"/>
  <c r="O147" i="8"/>
  <c r="O143" i="8"/>
  <c r="Z159" i="8"/>
  <c r="X159" i="8"/>
  <c r="S159" i="8"/>
  <c r="U159" i="8" s="1"/>
  <c r="O159" i="8"/>
  <c r="N159" i="8"/>
  <c r="N143" i="8"/>
  <c r="Z143" i="8"/>
  <c r="Z151" i="8"/>
  <c r="X151" i="8"/>
  <c r="S151" i="8"/>
  <c r="U151" i="8" s="1"/>
  <c r="N151" i="8"/>
  <c r="X147" i="8"/>
  <c r="S147" i="8"/>
  <c r="U147" i="8" s="1"/>
  <c r="N147" i="8"/>
  <c r="Z147" i="8"/>
  <c r="X143" i="8"/>
  <c r="S143" i="8"/>
  <c r="U143" i="8" s="1"/>
  <c r="G9" i="9"/>
  <c r="H9" i="9" s="1"/>
  <c r="I9" i="9" s="1"/>
  <c r="G11" i="9"/>
  <c r="H11" i="9" s="1"/>
  <c r="I11" i="9" s="1"/>
  <c r="G12" i="9"/>
  <c r="H12" i="9" s="1"/>
  <c r="I12" i="9" s="1"/>
  <c r="X44" i="8"/>
  <c r="S44" i="8"/>
  <c r="U44" i="8" s="1"/>
  <c r="O44" i="8"/>
  <c r="N44" i="8"/>
  <c r="Z44" i="8"/>
  <c r="Y124" i="8" l="1"/>
  <c r="M60" i="8"/>
  <c r="O72" i="8"/>
  <c r="G10" i="9"/>
  <c r="H10" i="9" s="1"/>
  <c r="Y76" i="8"/>
  <c r="Y84" i="8"/>
  <c r="G13" i="9"/>
  <c r="H13" i="9" s="1"/>
  <c r="Y64" i="8"/>
  <c r="Y159" i="8"/>
  <c r="S72" i="8"/>
  <c r="U72" i="8" s="1"/>
  <c r="X72" i="8"/>
  <c r="Y72" i="8" s="1"/>
  <c r="G6" i="9"/>
  <c r="H6" i="9" s="1"/>
  <c r="G8" i="9"/>
  <c r="H8" i="9" s="1"/>
  <c r="I8" i="9" s="1"/>
  <c r="G14" i="9"/>
  <c r="H14" i="9" s="1"/>
  <c r="Y151" i="8"/>
  <c r="Y147" i="8"/>
  <c r="Y143" i="8"/>
  <c r="G7" i="9"/>
  <c r="H7" i="9" s="1"/>
  <c r="I7" i="9" s="1"/>
  <c r="Y44" i="8"/>
  <c r="AI223" i="8"/>
  <c r="AH223" i="8"/>
  <c r="AF223" i="8"/>
  <c r="AG223" i="8" s="1"/>
  <c r="AI219" i="8"/>
  <c r="AH219" i="8"/>
  <c r="AF219" i="8"/>
  <c r="AG219" i="8" s="1"/>
  <c r="AI215" i="8"/>
  <c r="AH215" i="8"/>
  <c r="AF215" i="8"/>
  <c r="AG215" i="8" s="1"/>
  <c r="AI211" i="8"/>
  <c r="AH211" i="8"/>
  <c r="AF211" i="8"/>
  <c r="AG211" i="8" s="1"/>
  <c r="B43" i="6"/>
  <c r="B42" i="6"/>
  <c r="B38" i="6"/>
  <c r="B37" i="6"/>
  <c r="B33" i="6"/>
  <c r="C53" i="6"/>
  <c r="B53" i="6" s="1"/>
  <c r="C52" i="6"/>
  <c r="B52" i="6" s="1"/>
  <c r="C51" i="6"/>
  <c r="B51" i="6" s="1"/>
  <c r="C50" i="6"/>
  <c r="B50" i="6" s="1"/>
  <c r="C49" i="6"/>
  <c r="B49" i="6" s="1"/>
  <c r="C48" i="6"/>
  <c r="B48" i="6" s="1"/>
  <c r="C47" i="6"/>
  <c r="B47" i="6" s="1"/>
  <c r="C46" i="6"/>
  <c r="B46" i="6" s="1"/>
  <c r="C45" i="6"/>
  <c r="B45" i="6" s="1"/>
  <c r="C44" i="6"/>
  <c r="B44" i="6" s="1"/>
  <c r="C43" i="6"/>
  <c r="C42" i="6"/>
  <c r="C38" i="6"/>
  <c r="C37" i="6"/>
  <c r="C36" i="6"/>
  <c r="B36" i="6" s="1"/>
  <c r="C35" i="6"/>
  <c r="B35" i="6" s="1"/>
  <c r="C9" i="6"/>
  <c r="B9" i="6" s="1"/>
  <c r="C34" i="6"/>
  <c r="B34" i="6" s="1"/>
  <c r="C8" i="6"/>
  <c r="B8" i="6" s="1"/>
  <c r="C33" i="6"/>
  <c r="C7" i="6"/>
  <c r="B7" i="6" s="1"/>
  <c r="C18" i="6"/>
  <c r="B18" i="6" s="1"/>
  <c r="C17" i="6"/>
  <c r="B17" i="6" s="1"/>
  <c r="C16" i="6"/>
  <c r="B16" i="6" s="1"/>
  <c r="C15" i="6"/>
  <c r="B15" i="6" s="1"/>
  <c r="C14" i="6"/>
  <c r="B14" i="6" s="1"/>
  <c r="C13" i="6"/>
  <c r="B13" i="6" s="1"/>
  <c r="C12" i="6"/>
  <c r="B12" i="6" s="1"/>
  <c r="C11" i="6"/>
  <c r="B11" i="6" s="1"/>
  <c r="C10" i="6"/>
  <c r="B10" i="6" s="1"/>
  <c r="B4" i="6"/>
  <c r="C41" i="6"/>
  <c r="B41" i="6" s="1"/>
  <c r="I6" i="6"/>
  <c r="C6" i="6" s="1"/>
  <c r="B6" i="6" s="1"/>
  <c r="C40" i="6"/>
  <c r="B40" i="6" s="1"/>
  <c r="C32" i="6"/>
  <c r="B32" i="6" s="1"/>
  <c r="C22" i="6"/>
  <c r="B22" i="6" s="1"/>
  <c r="C23" i="6"/>
  <c r="B23" i="6" s="1"/>
  <c r="C24" i="6"/>
  <c r="B24" i="6" s="1"/>
  <c r="C25" i="6"/>
  <c r="B25" i="6" s="1"/>
  <c r="C26" i="6"/>
  <c r="B26" i="6" s="1"/>
  <c r="C31" i="6"/>
  <c r="B31" i="6" s="1"/>
  <c r="C27" i="6"/>
  <c r="B27" i="6" s="1"/>
  <c r="C30" i="6"/>
  <c r="B30" i="6" s="1"/>
  <c r="C28" i="6"/>
  <c r="B28" i="6" s="1"/>
  <c r="C29" i="6"/>
  <c r="B29" i="6" s="1"/>
  <c r="G5" i="6"/>
  <c r="C5" i="6" s="1"/>
  <c r="B5" i="6" s="1"/>
  <c r="C39" i="6"/>
  <c r="B39" i="6" s="1"/>
  <c r="C19" i="6"/>
  <c r="B19" i="6" s="1"/>
  <c r="C20" i="6"/>
  <c r="B20" i="6" s="1"/>
  <c r="C21" i="6"/>
  <c r="B21" i="6" s="1"/>
  <c r="N40" i="8"/>
  <c r="I6" i="9" l="1"/>
  <c r="I29" i="9" s="1"/>
  <c r="H29" i="9"/>
  <c r="Y80" i="8"/>
  <c r="O60" i="8"/>
  <c r="Y60" i="8" s="1"/>
  <c r="Y68" i="8" s="1"/>
  <c r="Y88" i="8"/>
  <c r="K14" i="8"/>
  <c r="K13" i="8"/>
  <c r="K12" i="8"/>
  <c r="J26" i="8"/>
  <c r="J25" i="8"/>
  <c r="J24" i="8"/>
  <c r="J14" i="8"/>
  <c r="J13" i="8"/>
  <c r="J12" i="8"/>
  <c r="B14" i="8"/>
  <c r="B26" i="8"/>
  <c r="B25" i="8"/>
  <c r="B24" i="8"/>
  <c r="B13" i="8"/>
  <c r="B12" i="8"/>
  <c r="C14" i="8"/>
  <c r="C13" i="8"/>
  <c r="C12" i="8"/>
  <c r="X40" i="8"/>
  <c r="AI175" i="8"/>
  <c r="AH175" i="8"/>
  <c r="AF175" i="8"/>
  <c r="AG175" i="8" s="1"/>
  <c r="AI159" i="8"/>
  <c r="AH159" i="8"/>
  <c r="AF159" i="8"/>
  <c r="AG159" i="8" s="1"/>
  <c r="AI151" i="8"/>
  <c r="AH151" i="8"/>
  <c r="AF151" i="8"/>
  <c r="AG151" i="8" s="1"/>
  <c r="AI76" i="8"/>
  <c r="AH76" i="8"/>
  <c r="AG76" i="8"/>
  <c r="AH80" i="8"/>
  <c r="AH171" i="8"/>
  <c r="AH104" i="8"/>
  <c r="AI104" i="8"/>
  <c r="AH100" i="8"/>
  <c r="AI100" i="8"/>
  <c r="AH96" i="8"/>
  <c r="AH92" i="8"/>
  <c r="O40" i="8"/>
  <c r="O48" i="8"/>
  <c r="AF92" i="8" l="1"/>
  <c r="AG92" i="8" s="1"/>
  <c r="AF171" i="8"/>
  <c r="AG171" i="8" s="1"/>
  <c r="AI171" i="8"/>
  <c r="AI80" i="8"/>
  <c r="AF100" i="8"/>
  <c r="AG100" i="8" s="1"/>
  <c r="AI92" i="8"/>
  <c r="AF96" i="8"/>
  <c r="AG96" i="8" s="1"/>
  <c r="AI96" i="8"/>
  <c r="AF104" i="8"/>
  <c r="AG104" i="8" s="1"/>
  <c r="AH72" i="8"/>
  <c r="AI72" i="8"/>
  <c r="AH68" i="8"/>
  <c r="AI68" i="8"/>
  <c r="AH64" i="8" l="1"/>
  <c r="AI64" i="8"/>
  <c r="AH84" i="8"/>
  <c r="AH60" i="8"/>
  <c r="AI60" i="8"/>
  <c r="AH56" i="8"/>
  <c r="AI56" i="8"/>
  <c r="AH52" i="8"/>
  <c r="AI52" i="8"/>
  <c r="X48" i="8"/>
  <c r="S48" i="8"/>
  <c r="U48" i="8" s="1"/>
  <c r="AH48" i="8" s="1"/>
  <c r="AI48" i="8"/>
  <c r="N48" i="8"/>
  <c r="AH120" i="8"/>
  <c r="AI120" i="8"/>
  <c r="AH116" i="8"/>
  <c r="AI116" i="8"/>
  <c r="AH112" i="8"/>
  <c r="AI112" i="8"/>
  <c r="AH108" i="8"/>
  <c r="AI108" i="8"/>
  <c r="AH88" i="8"/>
  <c r="AI88" i="8"/>
  <c r="AI84" i="8"/>
  <c r="AH167" i="8"/>
  <c r="AI167" i="8"/>
  <c r="AH155" i="8"/>
  <c r="AI155" i="8"/>
  <c r="AH163" i="8"/>
  <c r="AI163" i="8"/>
  <c r="AH147" i="8"/>
  <c r="AI147" i="8"/>
  <c r="G5" i="9"/>
  <c r="H5" i="9" l="1"/>
  <c r="AI199" i="8" l="1"/>
  <c r="AH199" i="8"/>
  <c r="AF199" i="8"/>
  <c r="AG199" i="8" s="1"/>
  <c r="AI195" i="8"/>
  <c r="AH195" i="8"/>
  <c r="AF195" i="8"/>
  <c r="AG195" i="8" s="1"/>
  <c r="AI191" i="8"/>
  <c r="AH191" i="8"/>
  <c r="AF191" i="8"/>
  <c r="AG191" i="8" s="1"/>
  <c r="AI187" i="8"/>
  <c r="AH187" i="8"/>
  <c r="AF187" i="8"/>
  <c r="AG187" i="8" s="1"/>
  <c r="AI183" i="8"/>
  <c r="AH183" i="8"/>
  <c r="AF183" i="8"/>
  <c r="AG183" i="8" s="1"/>
  <c r="AI179" i="8"/>
  <c r="AH179" i="8"/>
  <c r="AF179" i="8"/>
  <c r="AG179" i="8" s="1"/>
  <c r="AI203" i="8" l="1"/>
  <c r="AH203" i="8"/>
  <c r="AF203" i="8"/>
  <c r="AG203" i="8" s="1"/>
  <c r="AH143" i="8"/>
  <c r="AI143" i="8"/>
  <c r="AH44" i="8"/>
  <c r="AH227" i="8"/>
  <c r="AG227" i="8"/>
  <c r="AE227" i="8"/>
  <c r="AF227" i="8" s="1"/>
  <c r="AH207" i="8"/>
  <c r="AG207" i="8"/>
  <c r="AE207" i="8"/>
  <c r="AF207" i="8" s="1"/>
  <c r="AH139" i="8"/>
  <c r="AG139" i="8"/>
  <c r="AE139" i="8"/>
  <c r="AF139" i="8" s="1"/>
  <c r="S40" i="8"/>
  <c r="U40" i="8" s="1"/>
  <c r="AH40" i="8" s="1"/>
  <c r="AI36" i="8"/>
  <c r="AH36" i="8"/>
  <c r="AF36" i="8"/>
  <c r="AG36" i="8" s="1"/>
  <c r="AG64" i="8" l="1"/>
  <c r="AI44" i="8"/>
  <c r="AI40" i="8" l="1"/>
  <c r="C100" i="6" l="1"/>
  <c r="B100" i="6" s="1"/>
  <c r="C99" i="6"/>
  <c r="B99" i="6" s="1"/>
  <c r="C98" i="6"/>
  <c r="B98" i="6" s="1"/>
  <c r="C97" i="6"/>
  <c r="B97" i="6" s="1"/>
  <c r="C96" i="6"/>
  <c r="B96" i="6" s="1"/>
  <c r="C95" i="6"/>
  <c r="B95" i="6" s="1"/>
  <c r="C94" i="6"/>
  <c r="B94" i="6" s="1"/>
  <c r="C93" i="6"/>
  <c r="B93" i="6" s="1"/>
  <c r="C92" i="6"/>
  <c r="B92" i="6" s="1"/>
  <c r="C91" i="6"/>
  <c r="B91" i="6" s="1"/>
  <c r="C90" i="6"/>
  <c r="B90" i="6" s="1"/>
  <c r="C89" i="6"/>
  <c r="B89" i="6" s="1"/>
  <c r="C88" i="6"/>
  <c r="B88" i="6" s="1"/>
  <c r="C87" i="6"/>
  <c r="B87" i="6" s="1"/>
  <c r="C86" i="6"/>
  <c r="B86" i="6" s="1"/>
  <c r="C85" i="6"/>
  <c r="B85" i="6" s="1"/>
  <c r="C84" i="6"/>
  <c r="B84" i="6" s="1"/>
  <c r="C83" i="6"/>
  <c r="B83" i="6" s="1"/>
  <c r="C82" i="6"/>
  <c r="B82" i="6" s="1"/>
  <c r="C81" i="6"/>
  <c r="B81" i="6" s="1"/>
  <c r="C80" i="6"/>
  <c r="B80" i="6" s="1"/>
  <c r="C79" i="6"/>
  <c r="B79" i="6" s="1"/>
  <c r="C78" i="6"/>
  <c r="B78" i="6" s="1"/>
  <c r="C77" i="6"/>
  <c r="B77" i="6" s="1"/>
  <c r="C76" i="6"/>
  <c r="B76" i="6" s="1"/>
  <c r="C75" i="6"/>
  <c r="B75" i="6" s="1"/>
  <c r="C74" i="6"/>
  <c r="B74" i="6" s="1"/>
  <c r="C73" i="6"/>
  <c r="B73" i="6" s="1"/>
  <c r="C72" i="6"/>
  <c r="B72" i="6" s="1"/>
  <c r="C71" i="6"/>
  <c r="B71" i="6" s="1"/>
  <c r="C70" i="6"/>
  <c r="B70" i="6" s="1"/>
  <c r="C69" i="6"/>
  <c r="B69" i="6" s="1"/>
  <c r="C68" i="6"/>
  <c r="B68" i="6" s="1"/>
  <c r="C67" i="6"/>
  <c r="B67" i="6" s="1"/>
  <c r="C66" i="6"/>
  <c r="B66" i="6" s="1"/>
  <c r="C65" i="6"/>
  <c r="B65" i="6" s="1"/>
  <c r="C64" i="6"/>
  <c r="B64" i="6" s="1"/>
  <c r="C63" i="6"/>
  <c r="B63" i="6" s="1"/>
  <c r="C62" i="6"/>
  <c r="B62" i="6" s="1"/>
  <c r="C61" i="6"/>
  <c r="B61" i="6" s="1"/>
  <c r="C60" i="6"/>
  <c r="B60" i="6" s="1"/>
  <c r="C59" i="6"/>
  <c r="B59" i="6" s="1"/>
  <c r="C58" i="6"/>
  <c r="B58" i="6" s="1"/>
  <c r="C57" i="6"/>
  <c r="B57" i="6" s="1"/>
  <c r="C56" i="6"/>
  <c r="B56" i="6" s="1"/>
  <c r="C55" i="6"/>
  <c r="B55" i="6" s="1"/>
  <c r="C54" i="6"/>
  <c r="B54" i="6" s="1"/>
  <c r="I40" i="8" l="1"/>
  <c r="Z40" i="8" s="1"/>
  <c r="Z48" i="8"/>
  <c r="AG80" i="8" l="1"/>
  <c r="Y40" i="8"/>
  <c r="AF143" i="8"/>
  <c r="AG143" i="8" s="1"/>
  <c r="Y48" i="8"/>
  <c r="AG48" i="8" s="1"/>
  <c r="AF112" i="8"/>
  <c r="AG112" i="8" s="1"/>
  <c r="AG84" i="8"/>
  <c r="AF116" i="8"/>
  <c r="AG116" i="8" s="1"/>
  <c r="AG88" i="8"/>
  <c r="AF52" i="8"/>
  <c r="AG52" i="8" s="1"/>
  <c r="AG72" i="8"/>
  <c r="AG68" i="8"/>
  <c r="AF155" i="8"/>
  <c r="AG155" i="8" s="1"/>
  <c r="AF108" i="8"/>
  <c r="AG108" i="8" s="1"/>
  <c r="AF56" i="8"/>
  <c r="AG56" i="8" s="1"/>
  <c r="AF147" i="8"/>
  <c r="AG147" i="8" s="1"/>
  <c r="AF163" i="8"/>
  <c r="AG163" i="8" s="1"/>
  <c r="AF167" i="8"/>
  <c r="AG167" i="8" s="1"/>
  <c r="AF40" i="8" l="1"/>
  <c r="AG40" i="8" s="1"/>
  <c r="AG60" i="8"/>
  <c r="AF120" i="8"/>
  <c r="AG120" i="8" s="1"/>
  <c r="AG44" i="8"/>
  <c r="B18" i="4"/>
  <c r="B16" i="4" l="1"/>
  <c r="B17" i="4"/>
  <c r="B14" i="4"/>
  <c r="B13" i="4"/>
  <c r="B12" i="4"/>
  <c r="B11" i="4"/>
  <c r="B10" i="4"/>
  <c r="B29" i="4" l="1"/>
  <c r="B28" i="4"/>
  <c r="B27" i="4"/>
  <c r="B26" i="4"/>
  <c r="B4" i="4"/>
  <c r="B5" i="4"/>
  <c r="B6" i="4"/>
  <c r="B7" i="4"/>
  <c r="B8" i="4"/>
  <c r="B9" i="4"/>
  <c r="H2" i="3" l="1"/>
  <c r="U2" i="3"/>
</calcChain>
</file>

<file path=xl/sharedStrings.xml><?xml version="1.0" encoding="utf-8"?>
<sst xmlns="http://schemas.openxmlformats.org/spreadsheetml/2006/main" count="351" uniqueCount="199">
  <si>
    <t>電 圧</t>
    <rPh sb="0" eb="3">
      <t>デンアツ</t>
    </rPh>
    <phoneticPr fontId="2"/>
  </si>
  <si>
    <t>系　　統</t>
    <rPh sb="0" eb="4">
      <t>ケイトウ</t>
    </rPh>
    <phoneticPr fontId="2"/>
  </si>
  <si>
    <t>こう長</t>
    <rPh sb="2" eb="3">
      <t>チョウ</t>
    </rPh>
    <phoneticPr fontId="2"/>
  </si>
  <si>
    <t>負荷名称</t>
    <rPh sb="0" eb="2">
      <t>フカ</t>
    </rPh>
    <rPh sb="2" eb="4">
      <t>メイショウ</t>
    </rPh>
    <phoneticPr fontId="2"/>
  </si>
  <si>
    <t>［V］</t>
    <phoneticPr fontId="2"/>
  </si>
  <si>
    <t>cosθ</t>
    <phoneticPr fontId="2"/>
  </si>
  <si>
    <t>許容電圧降下</t>
    <rPh sb="0" eb="2">
      <t>キョヨウ</t>
    </rPh>
    <rPh sb="2" eb="3">
      <t>デン</t>
    </rPh>
    <phoneticPr fontId="2"/>
  </si>
  <si>
    <t>［A]</t>
    <phoneticPr fontId="2"/>
  </si>
  <si>
    <t>電気方式</t>
    <rPh sb="0" eb="2">
      <t>デンキ</t>
    </rPh>
    <rPh sb="2" eb="4">
      <t>ホウシキ</t>
    </rPh>
    <phoneticPr fontId="2"/>
  </si>
  <si>
    <t>幹線保護用遮断器定格電流</t>
    <rPh sb="0" eb="2">
      <t>カンセン</t>
    </rPh>
    <rPh sb="2" eb="5">
      <t>ホゴヨウ</t>
    </rPh>
    <rPh sb="8" eb="10">
      <t>テイカク</t>
    </rPh>
    <rPh sb="10" eb="12">
      <t>デンリュウ</t>
    </rPh>
    <phoneticPr fontId="2"/>
  </si>
  <si>
    <t>ここに、</t>
    <phoneticPr fontId="2"/>
  </si>
  <si>
    <t>Ｉ［A］</t>
    <phoneticPr fontId="2"/>
  </si>
  <si>
    <t>Z［Ω/km］</t>
    <phoneticPr fontId="2"/>
  </si>
  <si>
    <r>
      <t>A［mm</t>
    </r>
    <r>
      <rPr>
        <vertAlign val="superscript"/>
        <sz val="9"/>
        <rFont val="ＭＳ 明朝"/>
        <family val="1"/>
        <charset val="128"/>
      </rPr>
      <t>2</t>
    </r>
    <r>
      <rPr>
        <sz val="9"/>
        <rFont val="ＭＳ 明朝"/>
        <family val="1"/>
        <charset val="128"/>
      </rPr>
      <t>］</t>
    </r>
    <phoneticPr fontId="4"/>
  </si>
  <si>
    <t>回路番号</t>
    <rPh sb="0" eb="2">
      <t>カイロ</t>
    </rPh>
    <rPh sb="2" eb="4">
      <t>バンゴウ</t>
    </rPh>
    <phoneticPr fontId="2"/>
  </si>
  <si>
    <t>配線用遮断器定格電流</t>
    <rPh sb="6" eb="8">
      <t>テイカク</t>
    </rPh>
    <rPh sb="8" eb="10">
      <t>デンリュウ</t>
    </rPh>
    <phoneticPr fontId="2"/>
  </si>
  <si>
    <t>負荷容量</t>
    <rPh sb="0" eb="2">
      <t>フカ</t>
    </rPh>
    <rPh sb="2" eb="4">
      <t>ヨウリョウ</t>
    </rPh>
    <phoneticPr fontId="2"/>
  </si>
  <si>
    <t>［V］</t>
    <phoneticPr fontId="2"/>
  </si>
  <si>
    <t>［A]</t>
    <phoneticPr fontId="2"/>
  </si>
  <si>
    <t>［VA］［W］</t>
    <phoneticPr fontId="2"/>
  </si>
  <si>
    <t>Ｉ［A］</t>
    <phoneticPr fontId="2"/>
  </si>
  <si>
    <t>e［V］</t>
    <phoneticPr fontId="2"/>
  </si>
  <si>
    <t>電路計算書（幹線用）</t>
    <rPh sb="0" eb="2">
      <t>デンロ</t>
    </rPh>
    <rPh sb="2" eb="5">
      <t>ケイサンショ</t>
    </rPh>
    <rPh sb="6" eb="8">
      <t>カンセン</t>
    </rPh>
    <rPh sb="8" eb="9">
      <t>ヨウ</t>
    </rPh>
    <phoneticPr fontId="2"/>
  </si>
  <si>
    <t>（様式　電-8-1）</t>
    <rPh sb="1" eb="3">
      <t>ヨウシキ</t>
    </rPh>
    <rPh sb="4" eb="5">
      <t>デン</t>
    </rPh>
    <phoneticPr fontId="2"/>
  </si>
  <si>
    <t>電路計算書（分岐配線用）</t>
    <rPh sb="0" eb="2">
      <t>デンロ</t>
    </rPh>
    <rPh sb="2" eb="5">
      <t>ケイサンショ</t>
    </rPh>
    <rPh sb="6" eb="8">
      <t>ブンキ</t>
    </rPh>
    <rPh sb="8" eb="11">
      <t>ハイセンヨウ</t>
    </rPh>
    <phoneticPr fontId="2"/>
  </si>
  <si>
    <t>（様式　電-8-2）</t>
    <rPh sb="1" eb="3">
      <t>ヨウシキ</t>
    </rPh>
    <rPh sb="4" eb="5">
      <t>デン</t>
    </rPh>
    <phoneticPr fontId="2"/>
  </si>
  <si>
    <t>配線
方式</t>
    <rPh sb="0" eb="2">
      <t>ハイセン</t>
    </rPh>
    <rPh sb="3" eb="5">
      <t>ホウシキ</t>
    </rPh>
    <phoneticPr fontId="2"/>
  </si>
  <si>
    <t>許容電流</t>
    <rPh sb="0" eb="2">
      <t>キョヨウ</t>
    </rPh>
    <rPh sb="2" eb="4">
      <t>デンリュウ</t>
    </rPh>
    <phoneticPr fontId="2"/>
  </si>
  <si>
    <t>主幹器具
定格電流</t>
    <rPh sb="0" eb="2">
      <t>シュカン</t>
    </rPh>
    <rPh sb="2" eb="4">
      <t>キグ</t>
    </rPh>
    <rPh sb="5" eb="7">
      <t>テイカク</t>
    </rPh>
    <rPh sb="7" eb="9">
      <t>デンリュウ</t>
    </rPh>
    <phoneticPr fontId="2"/>
  </si>
  <si>
    <t>［V］</t>
    <phoneticPr fontId="2"/>
  </si>
  <si>
    <t>［A］</t>
    <phoneticPr fontId="2"/>
  </si>
  <si>
    <t>電線及びケーブル</t>
    <phoneticPr fontId="2"/>
  </si>
  <si>
    <t>負荷の
力率</t>
    <rPh sb="0" eb="2">
      <t>フカ</t>
    </rPh>
    <rPh sb="4" eb="5">
      <t>リキ</t>
    </rPh>
    <rPh sb="5" eb="6">
      <t>リツ</t>
    </rPh>
    <phoneticPr fontId="2"/>
  </si>
  <si>
    <t>負荷
名称</t>
    <rPh sb="0" eb="2">
      <t>フカ</t>
    </rPh>
    <rPh sb="3" eb="5">
      <t>メイショウ</t>
    </rPh>
    <phoneticPr fontId="2"/>
  </si>
  <si>
    <t>種別及び断面積</t>
    <rPh sb="4" eb="7">
      <t>ダンメンセキ</t>
    </rPh>
    <phoneticPr fontId="2"/>
  </si>
  <si>
    <t>配線
方式</t>
    <rPh sb="0" eb="1">
      <t>クバ</t>
    </rPh>
    <rPh sb="1" eb="2">
      <t>セン</t>
    </rPh>
    <rPh sb="3" eb="4">
      <t>カタ</t>
    </rPh>
    <rPh sb="4" eb="5">
      <t>シキ</t>
    </rPh>
    <phoneticPr fontId="2"/>
  </si>
  <si>
    <t>盤名称:</t>
    <phoneticPr fontId="2"/>
  </si>
  <si>
    <t>ℓ［m］</t>
    <phoneticPr fontId="2"/>
  </si>
  <si>
    <t>ケーブルラック配線の許容電流低減率</t>
    <rPh sb="7" eb="9">
      <t>ハイセン</t>
    </rPh>
    <rPh sb="10" eb="12">
      <t>キョヨウ</t>
    </rPh>
    <rPh sb="12" eb="14">
      <t>デンリュウ</t>
    </rPh>
    <rPh sb="14" eb="17">
      <t>テイゲンリツ</t>
    </rPh>
    <phoneticPr fontId="2"/>
  </si>
  <si>
    <t>幹線番号
又は名称</t>
    <rPh sb="0" eb="2">
      <t>カンセン</t>
    </rPh>
    <rPh sb="2" eb="4">
      <t>バンゴウ</t>
    </rPh>
    <rPh sb="5" eb="6">
      <t>マタ</t>
    </rPh>
    <rPh sb="7" eb="8">
      <t>ナ</t>
    </rPh>
    <rPh sb="8" eb="9">
      <t>ショウ</t>
    </rPh>
    <phoneticPr fontId="2"/>
  </si>
  <si>
    <t>：　電気方式による係数</t>
    <phoneticPr fontId="2"/>
  </si>
  <si>
    <t>電圧降下</t>
    <rPh sb="0" eb="1">
      <t>デン</t>
    </rPh>
    <phoneticPr fontId="2"/>
  </si>
  <si>
    <r>
      <rPr>
        <i/>
        <sz val="9"/>
        <rFont val="Cambria"/>
        <family val="1"/>
      </rPr>
      <t>K</t>
    </r>
    <r>
      <rPr>
        <sz val="9"/>
        <rFont val="ＭＳ 明朝"/>
        <family val="1"/>
        <charset val="128"/>
      </rPr>
      <t>：　電気方式による係数</t>
    </r>
    <phoneticPr fontId="2"/>
  </si>
  <si>
    <r>
      <rPr>
        <i/>
        <sz val="9"/>
        <rFont val="Cambria"/>
        <family val="1"/>
      </rPr>
      <t>e</t>
    </r>
    <r>
      <rPr>
        <sz val="9"/>
        <rFont val="ＭＳ 明朝"/>
        <family val="1"/>
        <charset val="128"/>
      </rPr>
      <t>：　電圧降下［</t>
    </r>
    <r>
      <rPr>
        <i/>
        <sz val="9"/>
        <rFont val="Cambria"/>
        <family val="1"/>
      </rPr>
      <t>V</t>
    </r>
    <r>
      <rPr>
        <sz val="9"/>
        <rFont val="ＭＳ 明朝"/>
        <family val="1"/>
        <charset val="128"/>
      </rPr>
      <t>］</t>
    </r>
    <phoneticPr fontId="2"/>
  </si>
  <si>
    <r>
      <t>ℓ：　こう長［</t>
    </r>
    <r>
      <rPr>
        <i/>
        <sz val="9"/>
        <rFont val="Cambria"/>
        <family val="1"/>
      </rPr>
      <t>m</t>
    </r>
    <r>
      <rPr>
        <sz val="9"/>
        <rFont val="ＭＳ 明朝"/>
        <family val="1"/>
        <charset val="128"/>
      </rPr>
      <t>］</t>
    </r>
    <phoneticPr fontId="2"/>
  </si>
  <si>
    <r>
      <rPr>
        <i/>
        <sz val="9"/>
        <rFont val="Cambria"/>
        <family val="1"/>
      </rPr>
      <t>Z</t>
    </r>
    <r>
      <rPr>
        <sz val="9"/>
        <rFont val="ＭＳ 明朝"/>
        <family val="1"/>
        <charset val="128"/>
      </rPr>
      <t>：　電線</t>
    </r>
    <r>
      <rPr>
        <sz val="9"/>
        <rFont val="Cambria"/>
        <family val="1"/>
      </rPr>
      <t>1</t>
    </r>
    <r>
      <rPr>
        <i/>
        <sz val="9"/>
        <rFont val="Cambria"/>
        <family val="1"/>
      </rPr>
      <t>km</t>
    </r>
    <r>
      <rPr>
        <sz val="9"/>
        <rFont val="ＭＳ 明朝"/>
        <family val="1"/>
        <charset val="128"/>
      </rPr>
      <t>あたりのインピーダンス［</t>
    </r>
    <r>
      <rPr>
        <sz val="9"/>
        <rFont val="Cambria"/>
        <family val="1"/>
      </rPr>
      <t>Ω</t>
    </r>
    <r>
      <rPr>
        <i/>
        <sz val="9"/>
        <rFont val="Cambria"/>
        <family val="1"/>
      </rPr>
      <t>/km</t>
    </r>
    <r>
      <rPr>
        <sz val="9"/>
        <rFont val="ＭＳ 明朝"/>
        <family val="1"/>
        <charset val="128"/>
      </rPr>
      <t>］</t>
    </r>
    <phoneticPr fontId="2"/>
  </si>
  <si>
    <t>e</t>
    <phoneticPr fontId="2"/>
  </si>
  <si>
    <t>K'</t>
    <phoneticPr fontId="2"/>
  </si>
  <si>
    <t>I</t>
    <phoneticPr fontId="2"/>
  </si>
  <si>
    <t>ℓ</t>
    <phoneticPr fontId="2"/>
  </si>
  <si>
    <r>
      <rPr>
        <i/>
        <sz val="9"/>
        <rFont val="Cambria"/>
        <family val="1"/>
      </rPr>
      <t>A</t>
    </r>
    <r>
      <rPr>
        <sz val="9"/>
        <rFont val="ＭＳ 明朝"/>
        <family val="1"/>
        <charset val="128"/>
      </rPr>
      <t/>
    </r>
    <phoneticPr fontId="2"/>
  </si>
  <si>
    <r>
      <t>：　電圧降下［</t>
    </r>
    <r>
      <rPr>
        <i/>
        <sz val="9"/>
        <rFont val="Cambria"/>
        <family val="1"/>
      </rPr>
      <t>V</t>
    </r>
    <r>
      <rPr>
        <sz val="9"/>
        <rFont val="ＭＳ 明朝"/>
        <family val="1"/>
        <charset val="128"/>
      </rPr>
      <t>］</t>
    </r>
    <phoneticPr fontId="2"/>
  </si>
  <si>
    <r>
      <t>：　こう長［</t>
    </r>
    <r>
      <rPr>
        <i/>
        <sz val="9"/>
        <rFont val="Cambria"/>
        <family val="1"/>
      </rPr>
      <t>m</t>
    </r>
    <r>
      <rPr>
        <sz val="9"/>
        <rFont val="ＭＳ 明朝"/>
        <family val="1"/>
        <charset val="128"/>
      </rPr>
      <t>］</t>
    </r>
    <phoneticPr fontId="2"/>
  </si>
  <si>
    <r>
      <t>：　電線の断面積［</t>
    </r>
    <r>
      <rPr>
        <i/>
        <sz val="9"/>
        <rFont val="Cambria"/>
        <family val="1"/>
      </rPr>
      <t>mm</t>
    </r>
    <r>
      <rPr>
        <vertAlign val="superscript"/>
        <sz val="9"/>
        <rFont val="Cambria"/>
        <family val="1"/>
      </rPr>
      <t>2</t>
    </r>
    <r>
      <rPr>
        <sz val="9"/>
        <rFont val="ＭＳ 明朝"/>
        <family val="1"/>
        <charset val="128"/>
      </rPr>
      <t>］</t>
    </r>
    <phoneticPr fontId="2"/>
  </si>
  <si>
    <t>設計負荷電流又は最大使用電流</t>
    <rPh sb="0" eb="2">
      <t>セッケイ</t>
    </rPh>
    <rPh sb="2" eb="4">
      <t>フカ</t>
    </rPh>
    <rPh sb="4" eb="6">
      <t>デンリュウ</t>
    </rPh>
    <rPh sb="6" eb="7">
      <t>マタ</t>
    </rPh>
    <rPh sb="8" eb="10">
      <t>サイダイ</t>
    </rPh>
    <rPh sb="10" eb="12">
      <t>シヨウ</t>
    </rPh>
    <rPh sb="12" eb="14">
      <t>デンリュウ</t>
    </rPh>
    <phoneticPr fontId="2"/>
  </si>
  <si>
    <t>分岐配線における電圧降下の算出</t>
    <rPh sb="0" eb="2">
      <t>ブンキ</t>
    </rPh>
    <rPh sb="2" eb="4">
      <t>ハイセン</t>
    </rPh>
    <rPh sb="8" eb="10">
      <t>デンアツ</t>
    </rPh>
    <rPh sb="10" eb="12">
      <t>コウカ</t>
    </rPh>
    <rPh sb="13" eb="15">
      <t>サンシュツ</t>
    </rPh>
    <phoneticPr fontId="2"/>
  </si>
  <si>
    <t>K</t>
    <phoneticPr fontId="2"/>
  </si>
  <si>
    <t>電気方式
による
係数</t>
    <rPh sb="0" eb="2">
      <t>デンキ</t>
    </rPh>
    <rPh sb="2" eb="4">
      <t>ホウシキ</t>
    </rPh>
    <rPh sb="9" eb="11">
      <t>ケイスウ</t>
    </rPh>
    <phoneticPr fontId="2"/>
  </si>
  <si>
    <t>電気方式
による
係数</t>
    <phoneticPr fontId="2"/>
  </si>
  <si>
    <r>
      <t>：　設計負荷電流又は最大使用電流［</t>
    </r>
    <r>
      <rPr>
        <i/>
        <sz val="9"/>
        <rFont val="Cambria"/>
        <family val="1"/>
      </rPr>
      <t>A</t>
    </r>
    <r>
      <rPr>
        <sz val="9"/>
        <rFont val="ＭＳ 明朝"/>
        <family val="1"/>
        <charset val="128"/>
      </rPr>
      <t>］</t>
    </r>
    <rPh sb="8" eb="9">
      <t>マタ</t>
    </rPh>
    <rPh sb="10" eb="12">
      <t>サイダイ</t>
    </rPh>
    <rPh sb="12" eb="14">
      <t>シヨウ</t>
    </rPh>
    <rPh sb="14" eb="16">
      <t>デンリュウ</t>
    </rPh>
    <phoneticPr fontId="2"/>
  </si>
  <si>
    <r>
      <rPr>
        <i/>
        <sz val="9"/>
        <rFont val="Cambria"/>
        <family val="1"/>
      </rPr>
      <t>I</t>
    </r>
    <r>
      <rPr>
        <sz val="9"/>
        <rFont val="ＭＳ 明朝"/>
        <family val="1"/>
        <charset val="128"/>
      </rPr>
      <t>：　設計負荷電流又は最大使用電流［</t>
    </r>
    <r>
      <rPr>
        <i/>
        <sz val="9"/>
        <rFont val="Cambria"/>
        <family val="1"/>
      </rPr>
      <t>A</t>
    </r>
    <r>
      <rPr>
        <sz val="9"/>
        <rFont val="ＭＳ 明朝"/>
        <family val="1"/>
        <charset val="128"/>
      </rPr>
      <t>］</t>
    </r>
    <rPh sb="3" eb="5">
      <t>セッケイ</t>
    </rPh>
    <rPh sb="5" eb="7">
      <t>フカ</t>
    </rPh>
    <rPh sb="9" eb="10">
      <t>マタ</t>
    </rPh>
    <rPh sb="11" eb="13">
      <t>サイダイ</t>
    </rPh>
    <rPh sb="13" eb="15">
      <t>シヨウ</t>
    </rPh>
    <rPh sb="15" eb="17">
      <t>デンリュウ</t>
    </rPh>
    <phoneticPr fontId="2"/>
  </si>
  <si>
    <t>インピーダンス</t>
    <phoneticPr fontId="2"/>
  </si>
  <si>
    <t>θ.8</t>
    <phoneticPr fontId="2"/>
  </si>
  <si>
    <t>FPT</t>
    <phoneticPr fontId="2"/>
  </si>
  <si>
    <t>OA-2-1</t>
    <phoneticPr fontId="2"/>
  </si>
  <si>
    <t>H30</t>
    <phoneticPr fontId="2"/>
  </si>
  <si>
    <t>電圧降下による電線太さ</t>
    <rPh sb="0" eb="2">
      <t>デンアツ</t>
    </rPh>
    <rPh sb="2" eb="4">
      <t>コウカ</t>
    </rPh>
    <rPh sb="7" eb="9">
      <t>デンセン</t>
    </rPh>
    <rPh sb="9" eb="10">
      <t>フト</t>
    </rPh>
    <phoneticPr fontId="2"/>
  </si>
  <si>
    <r>
      <t>A[mm</t>
    </r>
    <r>
      <rPr>
        <vertAlign val="superscript"/>
        <sz val="9"/>
        <rFont val="ＭＳ 明朝"/>
        <family val="1"/>
        <charset val="128"/>
      </rPr>
      <t>2</t>
    </r>
    <r>
      <rPr>
        <sz val="9"/>
        <rFont val="ＭＳ 明朝"/>
        <family val="1"/>
        <charset val="128"/>
      </rPr>
      <t>]</t>
    </r>
    <phoneticPr fontId="2"/>
  </si>
  <si>
    <t>１）幹線における電圧降下の算出</t>
    <rPh sb="2" eb="4">
      <t>カンセン</t>
    </rPh>
    <rPh sb="8" eb="10">
      <t>デンアツ</t>
    </rPh>
    <rPh sb="10" eb="12">
      <t>コウカ</t>
    </rPh>
    <rPh sb="13" eb="15">
      <t>サンシュツ</t>
    </rPh>
    <phoneticPr fontId="2"/>
  </si>
  <si>
    <t>*単相3線の内、1線は中性線（又は接地線)のため2線の値を用いている。</t>
    <rPh sb="1" eb="3">
      <t>タンソウ</t>
    </rPh>
    <rPh sb="4" eb="5">
      <t>セン</t>
    </rPh>
    <rPh sb="6" eb="7">
      <t>ウチ</t>
    </rPh>
    <rPh sb="9" eb="10">
      <t>セン</t>
    </rPh>
    <rPh sb="11" eb="13">
      <t>チュウセイ</t>
    </rPh>
    <rPh sb="13" eb="14">
      <t>セン</t>
    </rPh>
    <rPh sb="15" eb="16">
      <t>マタ</t>
    </rPh>
    <rPh sb="17" eb="19">
      <t>セッチ</t>
    </rPh>
    <rPh sb="19" eb="20">
      <t>セン</t>
    </rPh>
    <rPh sb="25" eb="26">
      <t>セン</t>
    </rPh>
    <rPh sb="27" eb="28">
      <t>アタイ</t>
    </rPh>
    <rPh sb="29" eb="30">
      <t>モチ</t>
    </rPh>
    <phoneticPr fontId="2"/>
  </si>
  <si>
    <t>２) 電線及びケーブルの許容電流は次の条件を満たすこと。</t>
    <rPh sb="3" eb="5">
      <t>デンセン</t>
    </rPh>
    <rPh sb="5" eb="6">
      <t>オヨ</t>
    </rPh>
    <rPh sb="12" eb="14">
      <t>キョヨウ</t>
    </rPh>
    <rPh sb="14" eb="16">
      <t>デンリュウ</t>
    </rPh>
    <rPh sb="17" eb="18">
      <t>ツギ</t>
    </rPh>
    <rPh sb="19" eb="21">
      <t>ジョウケン</t>
    </rPh>
    <rPh sb="22" eb="23">
      <t>ミ</t>
    </rPh>
    <phoneticPr fontId="4"/>
  </si>
  <si>
    <t>　　　　単相の場合は、幹線保護用遮断器定格電流以上</t>
    <rPh sb="4" eb="6">
      <t>タンソウ</t>
    </rPh>
    <rPh sb="7" eb="9">
      <t>バアイ</t>
    </rPh>
    <rPh sb="11" eb="13">
      <t>カンセン</t>
    </rPh>
    <rPh sb="13" eb="16">
      <t>ホゴヨウ</t>
    </rPh>
    <rPh sb="16" eb="19">
      <t>シャダンキ</t>
    </rPh>
    <rPh sb="19" eb="21">
      <t>テイカク</t>
    </rPh>
    <rPh sb="21" eb="23">
      <t>デンリュウ</t>
    </rPh>
    <rPh sb="23" eb="25">
      <t>イジョウ</t>
    </rPh>
    <phoneticPr fontId="2"/>
  </si>
  <si>
    <t>　　　　三相の場合は、設計負荷電流以上　</t>
    <rPh sb="4" eb="6">
      <t>サンソウ</t>
    </rPh>
    <rPh sb="7" eb="9">
      <t>バアイ</t>
    </rPh>
    <rPh sb="11" eb="13">
      <t>セッケイ</t>
    </rPh>
    <rPh sb="13" eb="15">
      <t>フカ</t>
    </rPh>
    <rPh sb="15" eb="17">
      <t>デンリュウ</t>
    </rPh>
    <rPh sb="17" eb="19">
      <t>イジョウ</t>
    </rPh>
    <phoneticPr fontId="2"/>
  </si>
  <si>
    <t>許容
電流
＊</t>
    <rPh sb="0" eb="2">
      <t>キョヨウ</t>
    </rPh>
    <rPh sb="3" eb="5">
      <t>デンリュウ</t>
    </rPh>
    <phoneticPr fontId="2"/>
  </si>
  <si>
    <t>亘長</t>
    <rPh sb="0" eb="2">
      <t>コウチョウ</t>
    </rPh>
    <phoneticPr fontId="2"/>
  </si>
  <si>
    <t>合計</t>
    <rPh sb="0" eb="2">
      <t>ゴウケイ</t>
    </rPh>
    <phoneticPr fontId="2"/>
  </si>
  <si>
    <t>外構</t>
    <rPh sb="0" eb="2">
      <t>ガイコウ</t>
    </rPh>
    <phoneticPr fontId="2"/>
  </si>
  <si>
    <t>平</t>
    <rPh sb="0" eb="1">
      <t>ヘイ</t>
    </rPh>
    <phoneticPr fontId="2"/>
  </si>
  <si>
    <t>立</t>
    <rPh sb="0" eb="1">
      <t>リツ</t>
    </rPh>
    <phoneticPr fontId="2"/>
  </si>
  <si>
    <t>1F</t>
    <phoneticPr fontId="2"/>
  </si>
  <si>
    <t>2F</t>
    <phoneticPr fontId="2"/>
  </si>
  <si>
    <t>3F</t>
    <phoneticPr fontId="2"/>
  </si>
  <si>
    <t>4F</t>
    <phoneticPr fontId="2"/>
  </si>
  <si>
    <t>盤側</t>
    <rPh sb="0" eb="1">
      <t>バン</t>
    </rPh>
    <rPh sb="1" eb="2">
      <t>ガワ</t>
    </rPh>
    <phoneticPr fontId="2"/>
  </si>
  <si>
    <t>QB側</t>
    <rPh sb="2" eb="3">
      <t>ガワ</t>
    </rPh>
    <phoneticPr fontId="2"/>
  </si>
  <si>
    <t>名称</t>
    <rPh sb="0" eb="2">
      <t>メイショウ</t>
    </rPh>
    <phoneticPr fontId="2"/>
  </si>
  <si>
    <t>1L-1</t>
    <phoneticPr fontId="2"/>
  </si>
  <si>
    <t>2L-1</t>
    <phoneticPr fontId="2"/>
  </si>
  <si>
    <t>3L-1</t>
    <phoneticPr fontId="2"/>
  </si>
  <si>
    <t>4L-1</t>
    <phoneticPr fontId="2"/>
  </si>
  <si>
    <t>1P-1</t>
    <phoneticPr fontId="2"/>
  </si>
  <si>
    <t>2P-1</t>
    <phoneticPr fontId="2"/>
  </si>
  <si>
    <t>3P-1</t>
    <phoneticPr fontId="2"/>
  </si>
  <si>
    <t>4P-1</t>
    <phoneticPr fontId="2"/>
  </si>
  <si>
    <t>RP-1</t>
    <phoneticPr fontId="2"/>
  </si>
  <si>
    <t>1P-2</t>
    <phoneticPr fontId="2"/>
  </si>
  <si>
    <t>ELV</t>
    <phoneticPr fontId="2"/>
  </si>
  <si>
    <t>計装分電盤</t>
    <rPh sb="0" eb="5">
      <t>ケイソウブンデンバン</t>
    </rPh>
    <phoneticPr fontId="2"/>
  </si>
  <si>
    <t>MP-01</t>
    <phoneticPr fontId="2"/>
  </si>
  <si>
    <t>充足率</t>
    <rPh sb="0" eb="3">
      <t>ジュウソクリツ</t>
    </rPh>
    <phoneticPr fontId="2"/>
  </si>
  <si>
    <t>電圧降下
判定</t>
    <rPh sb="0" eb="2">
      <t>デンアツ</t>
    </rPh>
    <rPh sb="2" eb="4">
      <t>コウカ</t>
    </rPh>
    <rPh sb="5" eb="7">
      <t>ハンテイ</t>
    </rPh>
    <phoneticPr fontId="2"/>
  </si>
  <si>
    <t>電流値
判定</t>
    <rPh sb="0" eb="3">
      <t>デンリュウチ</t>
    </rPh>
    <rPh sb="4" eb="6">
      <t>ハンテイ</t>
    </rPh>
    <phoneticPr fontId="2"/>
  </si>
  <si>
    <r>
      <t xml:space="preserve">負荷
容量
[kVA]
</t>
    </r>
    <r>
      <rPr>
        <i/>
        <sz val="9"/>
        <rFont val="ＭＳ 明朝"/>
        <family val="1"/>
        <charset val="128"/>
      </rPr>
      <t>[ kW ]</t>
    </r>
    <rPh sb="0" eb="2">
      <t>フカ</t>
    </rPh>
    <rPh sb="3" eb="5">
      <t>ヨウリョウ</t>
    </rPh>
    <phoneticPr fontId="2"/>
  </si>
  <si>
    <t>開閉器
判定</t>
    <rPh sb="0" eb="3">
      <t>カイヘイキ</t>
    </rPh>
    <rPh sb="4" eb="6">
      <t>ハンテイ</t>
    </rPh>
    <phoneticPr fontId="2"/>
  </si>
  <si>
    <t>盤名称</t>
    <rPh sb="0" eb="1">
      <t>バン</t>
    </rPh>
    <rPh sb="1" eb="3">
      <t>メイショウ</t>
    </rPh>
    <phoneticPr fontId="2"/>
  </si>
  <si>
    <t>横</t>
    <rPh sb="0" eb="1">
      <t>ヨコ</t>
    </rPh>
    <phoneticPr fontId="2"/>
  </si>
  <si>
    <t>縦</t>
    <rPh sb="0" eb="1">
      <t>タテ</t>
    </rPh>
    <phoneticPr fontId="2"/>
  </si>
  <si>
    <t>50Hz</t>
    <phoneticPr fontId="2"/>
  </si>
  <si>
    <t>60Hz</t>
    <phoneticPr fontId="2"/>
  </si>
  <si>
    <t>θ</t>
    <phoneticPr fontId="2"/>
  </si>
  <si>
    <t>単相3線式</t>
    <rPh sb="0" eb="2">
      <t>タンソウ</t>
    </rPh>
    <rPh sb="3" eb="4">
      <t>セン</t>
    </rPh>
    <rPh sb="4" eb="5">
      <t>シキ</t>
    </rPh>
    <phoneticPr fontId="2"/>
  </si>
  <si>
    <t>100/200</t>
    <phoneticPr fontId="2"/>
  </si>
  <si>
    <t>建物名称　　　　　</t>
    <rPh sb="0" eb="2">
      <t>タテモノ</t>
    </rPh>
    <rPh sb="2" eb="4">
      <t>メイショウ</t>
    </rPh>
    <phoneticPr fontId="2"/>
  </si>
  <si>
    <t>ｹｰﾌﾞﾙﾗｯｸ配線</t>
    <rPh sb="8" eb="10">
      <t>ハイセン</t>
    </rPh>
    <phoneticPr fontId="2"/>
  </si>
  <si>
    <t>ケーブルラック配線</t>
    <rPh sb="7" eb="9">
      <t>ハイセン</t>
    </rPh>
    <phoneticPr fontId="2"/>
  </si>
  <si>
    <t>幹線分岐</t>
    <rPh sb="0" eb="4">
      <t>カンセンブンキ</t>
    </rPh>
    <phoneticPr fontId="2"/>
  </si>
  <si>
    <t>[A]</t>
    <phoneticPr fontId="2"/>
  </si>
  <si>
    <t>設計負荷
電流</t>
    <rPh sb="0" eb="2">
      <t>セッケイ</t>
    </rPh>
    <rPh sb="2" eb="4">
      <t>フカ</t>
    </rPh>
    <rPh sb="5" eb="7">
      <t>デンリュウ</t>
    </rPh>
    <phoneticPr fontId="2"/>
  </si>
  <si>
    <t>許容電流
低減率</t>
    <rPh sb="0" eb="2">
      <t>キョヨウ</t>
    </rPh>
    <rPh sb="2" eb="4">
      <t>デンリュウ</t>
    </rPh>
    <rPh sb="5" eb="7">
      <t>テイゲン</t>
    </rPh>
    <rPh sb="7" eb="8">
      <t>リツ</t>
    </rPh>
    <phoneticPr fontId="2"/>
  </si>
  <si>
    <t>許容電流</t>
    <rPh sb="0" eb="4">
      <t>キョヨウデンリュウ</t>
    </rPh>
    <phoneticPr fontId="2"/>
  </si>
  <si>
    <t>種別及び導体太さ</t>
    <rPh sb="4" eb="7">
      <t>ドウタイフト</t>
    </rPh>
    <phoneticPr fontId="2"/>
  </si>
  <si>
    <t>周波数</t>
    <phoneticPr fontId="2"/>
  </si>
  <si>
    <t>受変電設備等</t>
    <rPh sb="0" eb="5">
      <t>ジュヘンデンセツビ</t>
    </rPh>
    <rPh sb="5" eb="6">
      <t>ナド</t>
    </rPh>
    <phoneticPr fontId="2"/>
  </si>
  <si>
    <t>分岐幹線の
許容電流</t>
    <rPh sb="0" eb="4">
      <t>ブンキカンセン</t>
    </rPh>
    <rPh sb="6" eb="8">
      <t>キョヨウ</t>
    </rPh>
    <rPh sb="8" eb="10">
      <t>デンリュウ</t>
    </rPh>
    <phoneticPr fontId="2"/>
  </si>
  <si>
    <t>幹線</t>
    <rPh sb="0" eb="2">
      <t>カンセン</t>
    </rPh>
    <phoneticPr fontId="2"/>
  </si>
  <si>
    <t>負荷</t>
    <rPh sb="0" eb="2">
      <t>フカ</t>
    </rPh>
    <phoneticPr fontId="2"/>
  </si>
  <si>
    <t>電線１km当たりのインピーダンス</t>
    <rPh sb="0" eb="2">
      <t>デンセン</t>
    </rPh>
    <rPh sb="5" eb="6">
      <t>ア</t>
    </rPh>
    <phoneticPr fontId="2"/>
  </si>
  <si>
    <t>R03</t>
  </si>
  <si>
    <t>分岐</t>
    <rPh sb="0" eb="2">
      <t>ブンキ</t>
    </rPh>
    <phoneticPr fontId="2"/>
  </si>
  <si>
    <t>電灯No.1</t>
    <rPh sb="0" eb="2">
      <t>デントウ</t>
    </rPh>
    <phoneticPr fontId="2"/>
  </si>
  <si>
    <t>動力No.1</t>
    <rPh sb="0" eb="2">
      <t>ドウリョク</t>
    </rPh>
    <phoneticPr fontId="2"/>
  </si>
  <si>
    <t>三相3線式</t>
    <rPh sb="0" eb="2">
      <t>サンソウ</t>
    </rPh>
    <rPh sb="3" eb="5">
      <t>センシキ</t>
    </rPh>
    <phoneticPr fontId="2"/>
  </si>
  <si>
    <t>■ケーブルラック計算表</t>
    <rPh sb="8" eb="10">
      <t>ケイサン</t>
    </rPh>
    <rPh sb="10" eb="11">
      <t>ヒョウ</t>
    </rPh>
    <phoneticPr fontId="34"/>
  </si>
  <si>
    <t>□受変電設備</t>
    <rPh sb="1" eb="4">
      <t>ジュヘンデン</t>
    </rPh>
    <rPh sb="4" eb="6">
      <t>セツビ</t>
    </rPh>
    <phoneticPr fontId="34"/>
  </si>
  <si>
    <t>外形＋</t>
    <rPh sb="0" eb="2">
      <t>ガイケイ</t>
    </rPh>
    <phoneticPr fontId="34"/>
  </si>
  <si>
    <t>フロア</t>
    <phoneticPr fontId="34"/>
  </si>
  <si>
    <t>幹線番号</t>
    <rPh sb="0" eb="2">
      <t>カンセン</t>
    </rPh>
    <rPh sb="2" eb="4">
      <t>バンゴウ</t>
    </rPh>
    <phoneticPr fontId="34"/>
  </si>
  <si>
    <t>負荷名称</t>
    <rPh sb="0" eb="2">
      <t>フカ</t>
    </rPh>
    <rPh sb="2" eb="4">
      <t>メイショウ</t>
    </rPh>
    <phoneticPr fontId="34"/>
  </si>
  <si>
    <t>幹線
サイズ</t>
    <rPh sb="0" eb="2">
      <t>カンセン</t>
    </rPh>
    <phoneticPr fontId="34"/>
  </si>
  <si>
    <t>本数</t>
    <rPh sb="0" eb="2">
      <t>ホンスウ</t>
    </rPh>
    <phoneticPr fontId="34"/>
  </si>
  <si>
    <t>外形</t>
    <rPh sb="0" eb="2">
      <t>ガイケイ</t>
    </rPh>
    <phoneticPr fontId="34"/>
  </si>
  <si>
    <t>合計ケーブルサイズ W≧1.2{Σ(D+10)+60}</t>
    <rPh sb="0" eb="2">
      <t>ゴウケイ</t>
    </rPh>
    <phoneticPr fontId="34"/>
  </si>
  <si>
    <t>選定ケーブルラックサイズ</t>
    <rPh sb="0" eb="2">
      <t>センテイ</t>
    </rPh>
    <phoneticPr fontId="34"/>
  </si>
  <si>
    <t>CVT</t>
  </si>
  <si>
    <t>備考</t>
    <rPh sb="0" eb="2">
      <t>ビコウ</t>
    </rPh>
    <phoneticPr fontId="2"/>
  </si>
  <si>
    <t>150*2</t>
    <phoneticPr fontId="2"/>
  </si>
  <si>
    <t>200*2</t>
    <phoneticPr fontId="2"/>
  </si>
  <si>
    <t>250*2</t>
    <phoneticPr fontId="2"/>
  </si>
  <si>
    <t>QB</t>
    <phoneticPr fontId="2"/>
  </si>
  <si>
    <t>合計（×1.1）</t>
    <rPh sb="0" eb="2">
      <t>ゴウケイ</t>
    </rPh>
    <phoneticPr fontId="2"/>
  </si>
  <si>
    <t>2F</t>
  </si>
  <si>
    <t>3F</t>
  </si>
  <si>
    <t>4F</t>
  </si>
  <si>
    <t>5F</t>
  </si>
  <si>
    <t>6F</t>
  </si>
  <si>
    <t>RF</t>
    <phoneticPr fontId="2"/>
  </si>
  <si>
    <t>3L-1</t>
    <phoneticPr fontId="2"/>
  </si>
  <si>
    <t>4L-1</t>
    <phoneticPr fontId="2"/>
  </si>
  <si>
    <t>5L-1</t>
    <phoneticPr fontId="2"/>
  </si>
  <si>
    <t>6L-1</t>
    <phoneticPr fontId="2"/>
  </si>
  <si>
    <t>QB</t>
    <phoneticPr fontId="34"/>
  </si>
  <si>
    <t>EPS縦</t>
    <rPh sb="3" eb="4">
      <t>タテ</t>
    </rPh>
    <phoneticPr fontId="2"/>
  </si>
  <si>
    <t>1～3L-1</t>
    <phoneticPr fontId="2"/>
  </si>
  <si>
    <t>LG-101-1</t>
    <phoneticPr fontId="2"/>
  </si>
  <si>
    <t>LG-101-2</t>
    <phoneticPr fontId="2"/>
  </si>
  <si>
    <t>LG-101-3</t>
    <phoneticPr fontId="2"/>
  </si>
  <si>
    <t>L＞8m</t>
  </si>
  <si>
    <t>55％</t>
  </si>
  <si>
    <t>L≦8m</t>
  </si>
  <si>
    <t>35％</t>
  </si>
  <si>
    <t>①L-101</t>
    <phoneticPr fontId="2"/>
  </si>
  <si>
    <t>②L-102</t>
    <phoneticPr fontId="2"/>
  </si>
  <si>
    <t>③L-103</t>
    <phoneticPr fontId="2"/>
  </si>
  <si>
    <t>④LG-101</t>
    <phoneticPr fontId="2"/>
  </si>
  <si>
    <t>A</t>
    <phoneticPr fontId="2"/>
  </si>
  <si>
    <t>A+1</t>
    <phoneticPr fontId="2"/>
  </si>
  <si>
    <t>A+B+2</t>
    <phoneticPr fontId="2"/>
  </si>
  <si>
    <t>B</t>
    <phoneticPr fontId="2"/>
  </si>
  <si>
    <t>A+B+3</t>
    <phoneticPr fontId="2"/>
  </si>
  <si>
    <t>⑤LE-101</t>
    <phoneticPr fontId="2"/>
  </si>
  <si>
    <t>単相2線式</t>
    <rPh sb="0" eb="2">
      <t>タンソウ</t>
    </rPh>
    <rPh sb="3" eb="4">
      <t>セン</t>
    </rPh>
    <rPh sb="4" eb="5">
      <t>シキ</t>
    </rPh>
    <phoneticPr fontId="2"/>
  </si>
  <si>
    <t>非常ｺﾝｾﾝﾄ</t>
    <rPh sb="0" eb="2">
      <t>ヒジョウ</t>
    </rPh>
    <phoneticPr fontId="2"/>
  </si>
  <si>
    <t>14F非常ｺﾝｾﾝﾄ</t>
    <rPh sb="3" eb="5">
      <t>ヒジョウ</t>
    </rPh>
    <phoneticPr fontId="2"/>
  </si>
  <si>
    <t>15F非常ｺﾝｾﾝﾄ</t>
    <rPh sb="3" eb="5">
      <t>ヒジョウ</t>
    </rPh>
    <phoneticPr fontId="2"/>
  </si>
  <si>
    <t>13F非常ｺﾝｾﾝﾄ</t>
    <rPh sb="3" eb="5">
      <t>ヒジョウ</t>
    </rPh>
    <phoneticPr fontId="2"/>
  </si>
  <si>
    <t>FPD</t>
    <phoneticPr fontId="2"/>
  </si>
  <si>
    <t>FP-2C</t>
    <phoneticPr fontId="2"/>
  </si>
  <si>
    <t>配管配線</t>
    <rPh sb="0" eb="4">
      <t>ハイカンハイセン</t>
    </rPh>
    <phoneticPr fontId="2"/>
  </si>
  <si>
    <t>容量がkW</t>
    <rPh sb="0" eb="2">
      <t>ヨウリョウ</t>
    </rPh>
    <phoneticPr fontId="2"/>
  </si>
  <si>
    <t>容量がkVA</t>
    <rPh sb="0" eb="2">
      <t>ヨウリョウ</t>
    </rPh>
    <phoneticPr fontId="2"/>
  </si>
  <si>
    <r>
      <rPr>
        <b/>
        <i/>
        <sz val="7"/>
        <rFont val="ＭＳ ゴシック"/>
        <family val="3"/>
        <charset val="128"/>
      </rPr>
      <t>25.9+</t>
    </r>
    <r>
      <rPr>
        <b/>
        <sz val="7"/>
        <rFont val="ＭＳ ゴシック"/>
        <family val="3"/>
        <charset val="128"/>
      </rPr>
      <t xml:space="preserve">
20.2kVA</t>
    </r>
    <phoneticPr fontId="2"/>
  </si>
  <si>
    <t>①P-101</t>
    <phoneticPr fontId="2"/>
  </si>
  <si>
    <t>②P-102</t>
    <phoneticPr fontId="2"/>
  </si>
  <si>
    <t>③P-103</t>
    <phoneticPr fontId="2"/>
  </si>
  <si>
    <t>④P-104</t>
    <phoneticPr fontId="2"/>
  </si>
  <si>
    <t>⑤P-105</t>
    <phoneticPr fontId="2"/>
  </si>
  <si>
    <t>600×3</t>
    <phoneticPr fontId="2"/>
  </si>
  <si>
    <t>800×1</t>
    <phoneticPr fontId="2"/>
  </si>
  <si>
    <t>計</t>
    <rPh sb="0" eb="1">
      <t>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</si>
</sst>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_);[Red]\(0.0\)"/>
    <numFmt numFmtId="177" formatCode="0.00_);[Red]\(0.00\)"/>
    <numFmt numFmtId="178" formatCode="0_ "/>
    <numFmt numFmtId="179" formatCode="0.00_ "/>
    <numFmt numFmtId="180" formatCode="0.0_ "/>
    <numFmt numFmtId="181" formatCode="0.000"/>
    <numFmt numFmtId="182" formatCode="0.000_ "/>
    <numFmt numFmtId="183" formatCode="&quot; &quot;@"/>
    <numFmt numFmtId="184" formatCode="&quot;¥&quot;#,##0.0;[Red]&quot;¥&quot;\-#,##0.0"/>
    <numFmt numFmtId="185" formatCode="#,##0_ "/>
    <numFmt numFmtId="186" formatCode="0_);[Red]\(0\)"/>
    <numFmt numFmtId="187" formatCode="#&quot;Hz&quot;"/>
    <numFmt numFmtId="188" formatCode="&quot;KL&quot;0"/>
    <numFmt numFmtId="189" formatCode="[$-F800]dddd\,\ mmmm\ dd\,\ yyyy"/>
  </numFmts>
  <fonts count="4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7"/>
      <name val="ＭＳ Ｐ明朝"/>
      <family val="1"/>
      <charset val="128"/>
    </font>
    <font>
      <b/>
      <sz val="9"/>
      <name val="ＭＳ 明朝"/>
      <family val="1"/>
      <charset val="128"/>
    </font>
    <font>
      <sz val="9"/>
      <name val="ＭＳ 明朝"/>
      <family val="1"/>
      <charset val="128"/>
    </font>
    <font>
      <u/>
      <sz val="9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b/>
      <sz val="14"/>
      <name val="ＭＳ ゴシック"/>
      <family val="3"/>
      <charset val="128"/>
    </font>
    <font>
      <vertAlign val="superscript"/>
      <sz val="9"/>
      <name val="ＭＳ 明朝"/>
      <family val="1"/>
      <charset val="128"/>
    </font>
    <font>
      <b/>
      <sz val="9"/>
      <name val="ＭＳ ゴシック"/>
      <family val="3"/>
      <charset val="128"/>
    </font>
    <font>
      <sz val="7"/>
      <name val="ＭＳ 明朝"/>
      <family val="1"/>
      <charset val="128"/>
    </font>
    <font>
      <sz val="9"/>
      <name val="ＭＳ 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ｺﾞｼｯｸ"/>
      <family val="3"/>
      <charset val="128"/>
    </font>
    <font>
      <sz val="10"/>
      <name val="ＭＳ ゴシック"/>
      <family val="3"/>
      <charset val="128"/>
    </font>
    <font>
      <b/>
      <u/>
      <sz val="9"/>
      <name val="ＭＳ 明朝"/>
      <family val="1"/>
      <charset val="128"/>
    </font>
    <font>
      <sz val="9"/>
      <name val="ＭＳ Ｐ明朝"/>
      <family val="1"/>
      <charset val="128"/>
    </font>
    <font>
      <b/>
      <sz val="7"/>
      <name val="ＭＳ ゴシック"/>
      <family val="3"/>
      <charset val="128"/>
    </font>
    <font>
      <b/>
      <sz val="6"/>
      <name val="ＭＳ ゴシック"/>
      <family val="3"/>
      <charset val="128"/>
    </font>
    <font>
      <i/>
      <sz val="9"/>
      <name val="ＭＳ 明朝"/>
      <family val="1"/>
      <charset val="128"/>
    </font>
    <font>
      <i/>
      <sz val="9"/>
      <name val="Cambria"/>
      <family val="1"/>
    </font>
    <font>
      <sz val="9"/>
      <name val="Cambria"/>
      <family val="1"/>
    </font>
    <font>
      <vertAlign val="superscript"/>
      <sz val="9"/>
      <name val="Cambria"/>
      <family val="1"/>
    </font>
    <font>
      <b/>
      <sz val="9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i/>
      <sz val="9"/>
      <name val="ＭＳ ゴシック"/>
      <family val="3"/>
      <charset val="128"/>
    </font>
    <font>
      <sz val="11"/>
      <color theme="1"/>
      <name val="ＭＳ Ｐ明朝"/>
      <family val="2"/>
      <charset val="128"/>
    </font>
    <font>
      <sz val="12"/>
      <color theme="1"/>
      <name val="ＭＳ Ｐゴシック"/>
      <family val="3"/>
      <charset val="128"/>
    </font>
    <font>
      <sz val="6"/>
      <name val="ＭＳ Ｐ明朝"/>
      <family val="2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Ｐ明朝"/>
      <family val="2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9"/>
      <color theme="0" tint="-4.9989318521683403E-2"/>
      <name val="ＭＳ ゴシック"/>
      <family val="3"/>
      <charset val="128"/>
    </font>
    <font>
      <b/>
      <i/>
      <sz val="7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2"/>
      </left>
      <right/>
      <top/>
      <bottom style="hair">
        <color indexed="12"/>
      </bottom>
      <diagonal/>
    </border>
    <border>
      <left style="thin">
        <color indexed="12"/>
      </left>
      <right/>
      <top/>
      <bottom style="hair">
        <color indexed="12"/>
      </bottom>
      <diagonal/>
    </border>
    <border>
      <left style="thin">
        <color indexed="8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9">
    <xf numFmtId="0" fontId="0" fillId="0" borderId="0">
      <alignment vertical="center"/>
    </xf>
    <xf numFmtId="38" fontId="15" fillId="2" borderId="0" applyNumberFormat="0" applyBorder="0" applyAlignment="0" applyProtection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10" fontId="15" fillId="3" borderId="3" applyNumberFormat="0" applyBorder="0" applyAlignment="0" applyProtection="0"/>
    <xf numFmtId="184" fontId="1" fillId="0" borderId="0"/>
    <xf numFmtId="1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8" fillId="4" borderId="4" applyNumberFormat="0" applyFill="0" applyBorder="0" applyAlignment="0" applyProtection="0">
      <alignment horizontal="distributed" vertical="center"/>
    </xf>
    <xf numFmtId="183" fontId="1" fillId="0" borderId="5" applyNumberFormat="0" applyFill="0" applyBorder="0" applyAlignment="0" applyProtection="0"/>
    <xf numFmtId="183" fontId="1" fillId="0" borderId="5" applyNumberFormat="0" applyFill="0" applyBorder="0" applyAlignment="0" applyProtection="0"/>
    <xf numFmtId="0" fontId="19" fillId="0" borderId="0" applyNumberFormat="0" applyFill="0" applyBorder="0" applyAlignment="0" applyProtection="0">
      <alignment horizontal="right"/>
    </xf>
    <xf numFmtId="0" fontId="18" fillId="0" borderId="0" applyNumberFormat="0" applyFill="0" applyBorder="0" applyAlignment="0"/>
    <xf numFmtId="181" fontId="1" fillId="0" borderId="6" applyBorder="0" applyProtection="0"/>
    <xf numFmtId="0" fontId="18" fillId="0" borderId="0" applyNumberFormat="0" applyFill="0" applyBorder="0" applyAlignment="0" applyProtection="0"/>
    <xf numFmtId="0" fontId="3" fillId="0" borderId="0"/>
    <xf numFmtId="0" fontId="32" fillId="0" borderId="0">
      <alignment vertical="center"/>
    </xf>
  </cellStyleXfs>
  <cellXfs count="365">
    <xf numFmtId="0" fontId="0" fillId="0" borderId="0" xfId="0">
      <alignment vertical="center"/>
    </xf>
    <xf numFmtId="0" fontId="5" fillId="0" borderId="7" xfId="0" quotePrefix="1" applyFont="1" applyBorder="1" applyAlignment="1">
      <alignment horizontal="left" vertical="center"/>
    </xf>
    <xf numFmtId="0" fontId="6" fillId="0" borderId="7" xfId="0" applyFont="1" applyBorder="1">
      <alignment vertical="center"/>
    </xf>
    <xf numFmtId="0" fontId="6" fillId="0" borderId="7" xfId="0" quotePrefix="1" applyFont="1" applyBorder="1" applyAlignment="1">
      <alignment horizontal="left" vertical="center"/>
    </xf>
    <xf numFmtId="177" fontId="7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righ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>
      <alignment vertical="center"/>
    </xf>
    <xf numFmtId="0" fontId="6" fillId="0" borderId="11" xfId="0" applyFont="1" applyBorder="1">
      <alignment vertical="center"/>
    </xf>
    <xf numFmtId="0" fontId="10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6" fillId="0" borderId="2" xfId="8" applyFont="1" applyBorder="1" applyAlignment="1">
      <alignment vertical="center"/>
    </xf>
    <xf numFmtId="0" fontId="7" fillId="0" borderId="2" xfId="8" applyFont="1" applyBorder="1" applyAlignment="1">
      <alignment vertical="center"/>
    </xf>
    <xf numFmtId="0" fontId="5" fillId="0" borderId="2" xfId="8" applyFont="1" applyBorder="1" applyAlignment="1">
      <alignment vertical="center"/>
    </xf>
    <xf numFmtId="0" fontId="6" fillId="0" borderId="0" xfId="8" applyFont="1" applyAlignment="1">
      <alignment vertical="center"/>
    </xf>
    <xf numFmtId="176" fontId="6" fillId="0" borderId="7" xfId="0" applyNumberFormat="1" applyFont="1" applyBorder="1">
      <alignment vertical="center"/>
    </xf>
    <xf numFmtId="0" fontId="6" fillId="0" borderId="16" xfId="0" applyFont="1" applyBorder="1">
      <alignment vertical="center"/>
    </xf>
    <xf numFmtId="176" fontId="6" fillId="0" borderId="11" xfId="0" applyNumberFormat="1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19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176" fontId="6" fillId="0" borderId="9" xfId="0" applyNumberFormat="1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wrapText="1"/>
    </xf>
    <xf numFmtId="0" fontId="14" fillId="0" borderId="0" xfId="8" applyFont="1" applyAlignment="1">
      <alignment horizontal="right"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0" fontId="14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left" vertical="center"/>
    </xf>
    <xf numFmtId="0" fontId="6" fillId="0" borderId="2" xfId="8" applyFont="1" applyBorder="1" applyAlignment="1">
      <alignment horizontal="right" vertical="center" shrinkToFit="1"/>
    </xf>
    <xf numFmtId="0" fontId="20" fillId="0" borderId="2" xfId="8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14" fillId="0" borderId="0" xfId="8" applyFont="1" applyAlignment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176" fontId="6" fillId="0" borderId="10" xfId="0" applyNumberFormat="1" applyFont="1" applyBorder="1" applyAlignment="1">
      <alignment horizontal="center" vertical="center" shrinkToFit="1"/>
    </xf>
    <xf numFmtId="0" fontId="24" fillId="0" borderId="19" xfId="0" applyFont="1" applyBorder="1">
      <alignment vertical="center"/>
    </xf>
    <xf numFmtId="0" fontId="6" fillId="0" borderId="26" xfId="8" applyFont="1" applyBorder="1" applyAlignment="1">
      <alignment horizontal="left" vertical="center" shrinkToFit="1"/>
    </xf>
    <xf numFmtId="0" fontId="12" fillId="0" borderId="2" xfId="8" applyFont="1" applyBorder="1" applyAlignment="1">
      <alignment horizontal="left" vertical="center" shrinkToFit="1"/>
    </xf>
    <xf numFmtId="177" fontId="14" fillId="0" borderId="0" xfId="0" applyNumberFormat="1" applyFont="1">
      <alignment vertical="center"/>
    </xf>
    <xf numFmtId="177" fontId="6" fillId="0" borderId="7" xfId="0" applyNumberFormat="1" applyFont="1" applyBorder="1" applyAlignment="1">
      <alignment horizontal="left" vertical="center" indent="1"/>
    </xf>
    <xf numFmtId="177" fontId="6" fillId="0" borderId="2" xfId="8" applyNumberFormat="1" applyFont="1" applyBorder="1" applyAlignment="1">
      <alignment vertical="center"/>
    </xf>
    <xf numFmtId="177" fontId="5" fillId="0" borderId="19" xfId="0" applyNumberFormat="1" applyFont="1" applyBorder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177" fontId="6" fillId="0" borderId="0" xfId="0" applyNumberFormat="1" applyFont="1">
      <alignment vertical="center"/>
    </xf>
    <xf numFmtId="177" fontId="6" fillId="0" borderId="11" xfId="0" applyNumberFormat="1" applyFont="1" applyBorder="1">
      <alignment vertical="center"/>
    </xf>
    <xf numFmtId="177" fontId="14" fillId="0" borderId="0" xfId="8" applyNumberFormat="1" applyFont="1" applyAlignment="1">
      <alignment vertical="center"/>
    </xf>
    <xf numFmtId="177" fontId="21" fillId="0" borderId="0" xfId="0" applyNumberFormat="1" applyFont="1">
      <alignment vertical="center"/>
    </xf>
    <xf numFmtId="0" fontId="25" fillId="0" borderId="19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6" fillId="0" borderId="15" xfId="8" applyFont="1" applyBorder="1" applyAlignment="1">
      <alignment vertical="center"/>
    </xf>
    <xf numFmtId="0" fontId="6" fillId="0" borderId="39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176" fontId="24" fillId="0" borderId="33" xfId="0" applyNumberFormat="1" applyFont="1" applyBorder="1" applyAlignment="1">
      <alignment horizontal="center" vertical="center" shrinkToFit="1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7" fillId="0" borderId="0" xfId="8" applyFont="1" applyAlignment="1">
      <alignment vertical="center"/>
    </xf>
    <xf numFmtId="0" fontId="6" fillId="0" borderId="0" xfId="0" applyFont="1" applyAlignment="1">
      <alignment horizontal="left" vertical="center" indent="1"/>
    </xf>
    <xf numFmtId="176" fontId="6" fillId="0" borderId="33" xfId="0" applyNumberFormat="1" applyFont="1" applyBorder="1" applyAlignment="1">
      <alignment horizontal="center" vertical="center" shrinkToFit="1"/>
    </xf>
    <xf numFmtId="0" fontId="6" fillId="0" borderId="41" xfId="0" applyFont="1" applyBorder="1">
      <alignment vertical="center"/>
    </xf>
    <xf numFmtId="186" fontId="6" fillId="0" borderId="21" xfId="8" applyNumberFormat="1" applyFont="1" applyBorder="1" applyAlignment="1">
      <alignment horizontal="left" vertical="center"/>
    </xf>
    <xf numFmtId="186" fontId="6" fillId="0" borderId="41" xfId="8" applyNumberFormat="1" applyFont="1" applyBorder="1" applyAlignment="1">
      <alignment horizontal="left" vertical="center"/>
    </xf>
    <xf numFmtId="0" fontId="14" fillId="0" borderId="41" xfId="0" applyFont="1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6" fillId="0" borderId="0" xfId="0" applyFont="1" applyAlignment="1">
      <alignment horizontal="left" vertical="center"/>
    </xf>
    <xf numFmtId="0" fontId="0" fillId="0" borderId="32" xfId="0" applyBorder="1">
      <alignment vertical="center"/>
    </xf>
    <xf numFmtId="0" fontId="0" fillId="0" borderId="36" xfId="0" applyBorder="1">
      <alignment vertical="center"/>
    </xf>
    <xf numFmtId="180" fontId="0" fillId="0" borderId="3" xfId="0" applyNumberFormat="1" applyBorder="1">
      <alignment vertical="center"/>
    </xf>
    <xf numFmtId="0" fontId="30" fillId="0" borderId="3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5" fillId="0" borderId="19" xfId="8" applyFont="1" applyBorder="1" applyAlignment="1">
      <alignment vertical="center"/>
    </xf>
    <xf numFmtId="0" fontId="7" fillId="0" borderId="19" xfId="8" applyFont="1" applyBorder="1" applyAlignment="1">
      <alignment vertical="center"/>
    </xf>
    <xf numFmtId="0" fontId="6" fillId="0" borderId="19" xfId="8" applyFont="1" applyBorder="1" applyAlignment="1">
      <alignment vertical="center"/>
    </xf>
    <xf numFmtId="0" fontId="6" fillId="0" borderId="18" xfId="8" applyFont="1" applyBorder="1" applyAlignment="1">
      <alignment horizontal="center" vertical="center"/>
    </xf>
    <xf numFmtId="187" fontId="12" fillId="0" borderId="24" xfId="8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shrinkToFit="1"/>
    </xf>
    <xf numFmtId="0" fontId="24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86" fontId="6" fillId="0" borderId="0" xfId="8" applyNumberFormat="1" applyFont="1" applyAlignment="1">
      <alignment horizontal="left" vertical="center"/>
    </xf>
    <xf numFmtId="186" fontId="6" fillId="0" borderId="11" xfId="8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shrinkToFit="1"/>
    </xf>
    <xf numFmtId="0" fontId="12" fillId="0" borderId="36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37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center" vertical="center" shrinkToFit="1"/>
    </xf>
    <xf numFmtId="0" fontId="12" fillId="0" borderId="32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33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2" fillId="0" borderId="37" xfId="0" applyFont="1" applyBorder="1" applyAlignment="1">
      <alignment horizontal="center" vertical="center" shrinkToFit="1"/>
    </xf>
    <xf numFmtId="0" fontId="12" fillId="0" borderId="32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33" fillId="0" borderId="0" xfId="18" applyFont="1" applyAlignment="1">
      <alignment horizontal="left" vertical="center"/>
    </xf>
    <xf numFmtId="0" fontId="35" fillId="0" borderId="0" xfId="18" applyFont="1">
      <alignment vertical="center"/>
    </xf>
    <xf numFmtId="0" fontId="36" fillId="0" borderId="0" xfId="18" applyFont="1">
      <alignment vertical="center"/>
    </xf>
    <xf numFmtId="0" fontId="32" fillId="0" borderId="0" xfId="18">
      <alignment vertical="center"/>
    </xf>
    <xf numFmtId="0" fontId="35" fillId="0" borderId="0" xfId="18" applyFont="1" applyAlignment="1">
      <alignment horizontal="right" vertical="center"/>
    </xf>
    <xf numFmtId="0" fontId="35" fillId="0" borderId="50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6" borderId="51" xfId="18" applyFont="1" applyFill="1" applyBorder="1" applyAlignment="1">
      <alignment horizontal="center" vertical="center"/>
    </xf>
    <xf numFmtId="0" fontId="35" fillId="6" borderId="52" xfId="18" applyFont="1" applyFill="1" applyBorder="1" applyAlignment="1">
      <alignment horizontal="center" vertical="center"/>
    </xf>
    <xf numFmtId="0" fontId="35" fillId="6" borderId="52" xfId="18" applyFont="1" applyFill="1" applyBorder="1" applyAlignment="1">
      <alignment horizontal="center" vertical="center" wrapText="1"/>
    </xf>
    <xf numFmtId="0" fontId="35" fillId="6" borderId="1" xfId="18" applyFont="1" applyFill="1" applyBorder="1" applyAlignment="1">
      <alignment horizontal="center" vertical="center"/>
    </xf>
    <xf numFmtId="0" fontId="35" fillId="6" borderId="53" xfId="18" applyFont="1" applyFill="1" applyBorder="1" applyAlignment="1">
      <alignment horizontal="center" vertical="center"/>
    </xf>
    <xf numFmtId="0" fontId="35" fillId="6" borderId="54" xfId="18" applyFont="1" applyFill="1" applyBorder="1" applyAlignment="1">
      <alignment horizontal="center" vertical="center" wrapText="1"/>
    </xf>
    <xf numFmtId="0" fontId="35" fillId="6" borderId="54" xfId="18" applyFont="1" applyFill="1" applyBorder="1" applyAlignment="1">
      <alignment horizontal="center" vertical="center"/>
    </xf>
    <xf numFmtId="0" fontId="35" fillId="6" borderId="55" xfId="18" applyFont="1" applyFill="1" applyBorder="1" applyAlignment="1">
      <alignment horizontal="center" vertical="center" wrapText="1"/>
    </xf>
    <xf numFmtId="0" fontId="35" fillId="0" borderId="56" xfId="18" applyFont="1" applyBorder="1" applyAlignment="1">
      <alignment horizontal="center" vertical="center"/>
    </xf>
    <xf numFmtId="188" fontId="37" fillId="0" borderId="57" xfId="18" applyNumberFormat="1" applyFont="1" applyBorder="1" applyAlignment="1">
      <alignment horizontal="center" vertical="center"/>
    </xf>
    <xf numFmtId="0" fontId="37" fillId="0" borderId="57" xfId="18" applyFont="1" applyBorder="1" applyAlignment="1">
      <alignment horizontal="center" vertical="center" shrinkToFit="1"/>
    </xf>
    <xf numFmtId="0" fontId="37" fillId="0" borderId="57" xfId="18" applyFont="1" applyBorder="1">
      <alignment vertical="center"/>
    </xf>
    <xf numFmtId="0" fontId="37" fillId="0" borderId="41" xfId="18" applyFont="1" applyBorder="1">
      <alignment vertical="center"/>
    </xf>
    <xf numFmtId="0" fontId="37" fillId="0" borderId="58" xfId="18" applyFont="1" applyBorder="1">
      <alignment vertical="center"/>
    </xf>
    <xf numFmtId="0" fontId="37" fillId="0" borderId="59" xfId="18" applyFont="1" applyBorder="1" applyAlignment="1">
      <alignment horizontal="right" vertical="center"/>
    </xf>
    <xf numFmtId="0" fontId="37" fillId="0" borderId="60" xfId="18" applyFont="1" applyBorder="1" applyAlignment="1">
      <alignment horizontal="right" vertical="center"/>
    </xf>
    <xf numFmtId="0" fontId="37" fillId="0" borderId="61" xfId="18" applyFont="1" applyBorder="1" applyAlignment="1">
      <alignment horizontal="right" vertical="center"/>
    </xf>
    <xf numFmtId="0" fontId="35" fillId="0" borderId="61" xfId="18" applyFont="1" applyBorder="1" applyAlignment="1">
      <alignment horizontal="right" vertical="center"/>
    </xf>
    <xf numFmtId="0" fontId="35" fillId="0" borderId="62" xfId="18" applyFont="1" applyBorder="1" applyAlignment="1">
      <alignment horizontal="right" vertical="center"/>
    </xf>
    <xf numFmtId="0" fontId="35" fillId="0" borderId="25" xfId="18" applyFont="1" applyBorder="1" applyAlignment="1">
      <alignment horizontal="center" vertical="center"/>
    </xf>
    <xf numFmtId="188" fontId="37" fillId="0" borderId="63" xfId="18" applyNumberFormat="1" applyFont="1" applyBorder="1" applyAlignment="1">
      <alignment horizontal="center" vertical="center"/>
    </xf>
    <xf numFmtId="0" fontId="37" fillId="0" borderId="63" xfId="18" applyFont="1" applyBorder="1" applyAlignment="1">
      <alignment horizontal="center" vertical="center" shrinkToFit="1"/>
    </xf>
    <xf numFmtId="0" fontId="37" fillId="0" borderId="63" xfId="18" applyFont="1" applyBorder="1">
      <alignment vertical="center"/>
    </xf>
    <xf numFmtId="0" fontId="35" fillId="0" borderId="30" xfId="18" applyFont="1" applyBorder="1">
      <alignment vertical="center"/>
    </xf>
    <xf numFmtId="0" fontId="37" fillId="0" borderId="64" xfId="18" applyFont="1" applyBorder="1" applyAlignment="1">
      <alignment horizontal="right" vertical="center"/>
    </xf>
    <xf numFmtId="0" fontId="35" fillId="0" borderId="65" xfId="18" applyFont="1" applyBorder="1" applyAlignment="1">
      <alignment horizontal="right" vertical="center"/>
    </xf>
    <xf numFmtId="0" fontId="35" fillId="0" borderId="66" xfId="18" applyFont="1" applyBorder="1" applyAlignment="1">
      <alignment horizontal="center" vertical="center"/>
    </xf>
    <xf numFmtId="188" fontId="37" fillId="0" borderId="67" xfId="18" applyNumberFormat="1" applyFont="1" applyBorder="1" applyAlignment="1" applyProtection="1">
      <alignment horizontal="center" vertical="center"/>
      <protection locked="0"/>
    </xf>
    <xf numFmtId="0" fontId="37" fillId="0" borderId="67" xfId="18" applyFont="1" applyBorder="1" applyAlignment="1" applyProtection="1">
      <alignment horizontal="center" vertical="center" shrinkToFit="1"/>
      <protection locked="0"/>
    </xf>
    <xf numFmtId="0" fontId="38" fillId="0" borderId="67" xfId="18" applyFont="1" applyBorder="1">
      <alignment vertical="center"/>
    </xf>
    <xf numFmtId="0" fontId="38" fillId="0" borderId="11" xfId="18" applyFont="1" applyBorder="1">
      <alignment vertical="center"/>
    </xf>
    <xf numFmtId="0" fontId="38" fillId="0" borderId="68" xfId="18" applyFont="1" applyBorder="1">
      <alignment vertical="center"/>
    </xf>
    <xf numFmtId="0" fontId="37" fillId="0" borderId="69" xfId="18" applyFont="1" applyBorder="1" applyAlignment="1">
      <alignment horizontal="right" vertical="center"/>
    </xf>
    <xf numFmtId="0" fontId="37" fillId="0" borderId="70" xfId="18" applyFont="1" applyBorder="1" applyAlignment="1">
      <alignment horizontal="right" vertical="center"/>
    </xf>
    <xf numFmtId="0" fontId="35" fillId="0" borderId="70" xfId="18" applyFont="1" applyBorder="1" applyAlignment="1">
      <alignment horizontal="right" vertical="center"/>
    </xf>
    <xf numFmtId="0" fontId="35" fillId="0" borderId="71" xfId="18" applyFont="1" applyBorder="1" applyAlignment="1">
      <alignment horizontal="right" vertical="center"/>
    </xf>
    <xf numFmtId="0" fontId="35" fillId="0" borderId="50" xfId="18" applyFont="1" applyBorder="1">
      <alignment vertical="center"/>
    </xf>
    <xf numFmtId="0" fontId="37" fillId="0" borderId="0" xfId="18" applyFont="1">
      <alignment vertical="center"/>
    </xf>
    <xf numFmtId="0" fontId="37" fillId="0" borderId="0" xfId="18" applyFont="1" applyAlignment="1">
      <alignment horizontal="right" vertical="center"/>
    </xf>
    <xf numFmtId="0" fontId="39" fillId="0" borderId="0" xfId="18" applyFont="1" applyAlignment="1">
      <alignment horizontal="left" vertical="center" wrapText="1"/>
    </xf>
    <xf numFmtId="0" fontId="39" fillId="0" borderId="0" xfId="18" applyFont="1" applyAlignment="1">
      <alignment horizontal="left" vertical="center"/>
    </xf>
    <xf numFmtId="0" fontId="39" fillId="0" borderId="0" xfId="18" applyFont="1" applyAlignment="1">
      <alignment horizontal="right" vertical="center"/>
    </xf>
    <xf numFmtId="0" fontId="38" fillId="0" borderId="0" xfId="18" applyFont="1" applyAlignment="1">
      <alignment horizontal="right" vertical="center"/>
    </xf>
    <xf numFmtId="0" fontId="37" fillId="0" borderId="63" xfId="18" applyFont="1" applyBorder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6" fillId="0" borderId="72" xfId="0" applyFont="1" applyBorder="1" applyAlignment="1">
      <alignment horizontal="center" vertical="center" shrinkToFit="1"/>
    </xf>
    <xf numFmtId="0" fontId="6" fillId="0" borderId="39" xfId="8" applyFont="1" applyBorder="1" applyAlignment="1">
      <alignment horizontal="right" vertical="center"/>
    </xf>
    <xf numFmtId="0" fontId="6" fillId="0" borderId="29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38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185" fontId="12" fillId="0" borderId="24" xfId="0" applyNumberFormat="1" applyFont="1" applyBorder="1" applyAlignment="1">
      <alignment horizontal="center" vertical="center" shrinkToFit="1"/>
    </xf>
    <xf numFmtId="185" fontId="12" fillId="0" borderId="9" xfId="0" applyNumberFormat="1" applyFont="1" applyBorder="1" applyAlignment="1">
      <alignment horizontal="center" vertical="center" shrinkToFit="1"/>
    </xf>
    <xf numFmtId="185" fontId="12" fillId="0" borderId="10" xfId="0" applyNumberFormat="1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left" vertical="center" shrinkToFit="1"/>
    </xf>
    <xf numFmtId="0" fontId="12" fillId="0" borderId="9" xfId="0" applyFont="1" applyBorder="1" applyAlignment="1">
      <alignment horizontal="left" vertical="center" shrinkToFit="1"/>
    </xf>
    <xf numFmtId="0" fontId="12" fillId="0" borderId="10" xfId="0" applyFont="1" applyBorder="1" applyAlignment="1">
      <alignment horizontal="left" vertical="center" shrinkToFit="1"/>
    </xf>
    <xf numFmtId="178" fontId="12" fillId="0" borderId="24" xfId="0" applyNumberFormat="1" applyFont="1" applyBorder="1" applyAlignment="1">
      <alignment horizontal="center" vertical="center"/>
    </xf>
    <xf numFmtId="178" fontId="12" fillId="0" borderId="9" xfId="0" applyNumberFormat="1" applyFont="1" applyBorder="1" applyAlignment="1">
      <alignment horizontal="center" vertical="center"/>
    </xf>
    <xf numFmtId="178" fontId="12" fillId="0" borderId="10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80" fontId="12" fillId="0" borderId="29" xfId="0" applyNumberFormat="1" applyFont="1" applyBorder="1" applyAlignment="1">
      <alignment horizontal="center" vertical="center" shrinkToFit="1"/>
    </xf>
    <xf numFmtId="180" fontId="12" fillId="0" borderId="30" xfId="0" applyNumberFormat="1" applyFont="1" applyBorder="1" applyAlignment="1">
      <alignment horizontal="center" vertical="center" shrinkToFit="1"/>
    </xf>
    <xf numFmtId="180" fontId="12" fillId="0" borderId="31" xfId="0" applyNumberFormat="1" applyFont="1" applyBorder="1" applyAlignment="1">
      <alignment horizontal="center" vertical="center" shrinkToFit="1"/>
    </xf>
    <xf numFmtId="179" fontId="12" fillId="0" borderId="24" xfId="0" applyNumberFormat="1" applyFont="1" applyBorder="1" applyAlignment="1">
      <alignment horizontal="center" vertical="center" shrinkToFit="1"/>
    </xf>
    <xf numFmtId="179" fontId="12" fillId="0" borderId="9" xfId="0" applyNumberFormat="1" applyFont="1" applyBorder="1" applyAlignment="1">
      <alignment horizontal="center" vertical="center" shrinkToFit="1"/>
    </xf>
    <xf numFmtId="179" fontId="12" fillId="0" borderId="10" xfId="0" applyNumberFormat="1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77" fontId="22" fillId="0" borderId="13" xfId="0" applyNumberFormat="1" applyFont="1" applyBorder="1" applyAlignment="1">
      <alignment horizontal="center" vertical="center" shrinkToFit="1"/>
    </xf>
    <xf numFmtId="177" fontId="22" fillId="0" borderId="33" xfId="0" applyNumberFormat="1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2" fillId="0" borderId="33" xfId="0" applyFont="1" applyBorder="1" applyAlignment="1">
      <alignment horizontal="center" vertical="center" shrinkToFit="1"/>
    </xf>
    <xf numFmtId="0" fontId="22" fillId="0" borderId="37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180" fontId="12" fillId="0" borderId="24" xfId="0" applyNumberFormat="1" applyFont="1" applyBorder="1" applyAlignment="1">
      <alignment horizontal="center" vertical="center"/>
    </xf>
    <xf numFmtId="180" fontId="12" fillId="0" borderId="9" xfId="0" applyNumberFormat="1" applyFont="1" applyBorder="1" applyAlignment="1">
      <alignment horizontal="center" vertical="center"/>
    </xf>
    <xf numFmtId="180" fontId="12" fillId="0" borderId="10" xfId="0" applyNumberFormat="1" applyFont="1" applyBorder="1" applyAlignment="1">
      <alignment horizontal="center" vertical="center"/>
    </xf>
    <xf numFmtId="180" fontId="12" fillId="0" borderId="24" xfId="0" applyNumberFormat="1" applyFont="1" applyBorder="1" applyAlignment="1">
      <alignment horizontal="center" vertical="center" shrinkToFit="1"/>
    </xf>
    <xf numFmtId="180" fontId="12" fillId="0" borderId="9" xfId="0" applyNumberFormat="1" applyFont="1" applyBorder="1" applyAlignment="1">
      <alignment horizontal="center" vertical="center" shrinkToFit="1"/>
    </xf>
    <xf numFmtId="180" fontId="12" fillId="0" borderId="10" xfId="0" applyNumberFormat="1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180" fontId="28" fillId="0" borderId="24" xfId="0" applyNumberFormat="1" applyFont="1" applyBorder="1" applyAlignment="1">
      <alignment horizontal="center" vertical="center" shrinkToFit="1"/>
    </xf>
    <xf numFmtId="0" fontId="29" fillId="0" borderId="9" xfId="0" applyFont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shrinkToFit="1"/>
    </xf>
    <xf numFmtId="177" fontId="22" fillId="0" borderId="24" xfId="0" applyNumberFormat="1" applyFont="1" applyBorder="1" applyAlignment="1">
      <alignment horizontal="center" vertical="center" shrinkToFit="1"/>
    </xf>
    <xf numFmtId="177" fontId="22" fillId="0" borderId="10" xfId="0" applyNumberFormat="1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6" fillId="0" borderId="33" xfId="8" applyFont="1" applyBorder="1" applyAlignment="1">
      <alignment horizontal="center" vertical="center" shrinkToFit="1"/>
    </xf>
    <xf numFmtId="0" fontId="6" fillId="0" borderId="37" xfId="8" applyFont="1" applyBorder="1" applyAlignment="1">
      <alignment horizontal="center" vertical="center" shrinkToFit="1"/>
    </xf>
    <xf numFmtId="180" fontId="22" fillId="0" borderId="24" xfId="0" applyNumberFormat="1" applyFont="1" applyBorder="1" applyAlignment="1">
      <alignment horizontal="center" vertical="center" wrapText="1" shrinkToFit="1"/>
    </xf>
    <xf numFmtId="180" fontId="22" fillId="0" borderId="9" xfId="0" applyNumberFormat="1" applyFont="1" applyBorder="1" applyAlignment="1">
      <alignment horizontal="center" vertical="center" shrinkToFit="1"/>
    </xf>
    <xf numFmtId="180" fontId="22" fillId="0" borderId="10" xfId="0" applyNumberFormat="1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left" vertical="center" shrinkToFit="1"/>
    </xf>
    <xf numFmtId="0" fontId="22" fillId="0" borderId="14" xfId="0" applyFont="1" applyBorder="1" applyAlignment="1">
      <alignment horizontal="left" vertical="center" shrinkToFit="1"/>
    </xf>
    <xf numFmtId="0" fontId="22" fillId="0" borderId="37" xfId="0" applyFont="1" applyBorder="1" applyAlignment="1">
      <alignment horizontal="left" vertical="center" shrinkToFit="1"/>
    </xf>
    <xf numFmtId="189" fontId="6" fillId="0" borderId="7" xfId="0" quotePrefix="1" applyNumberFormat="1" applyFont="1" applyBorder="1" applyAlignment="1">
      <alignment horizontal="center" vertical="center"/>
    </xf>
    <xf numFmtId="189" fontId="6" fillId="0" borderId="8" xfId="0" quotePrefix="1" applyNumberFormat="1" applyFont="1" applyBorder="1" applyAlignment="1">
      <alignment horizontal="center" vertical="center"/>
    </xf>
    <xf numFmtId="176" fontId="12" fillId="0" borderId="24" xfId="0" applyNumberFormat="1" applyFont="1" applyBorder="1" applyAlignment="1">
      <alignment horizontal="center" vertical="center" shrinkToFit="1"/>
    </xf>
    <xf numFmtId="176" fontId="12" fillId="0" borderId="9" xfId="0" applyNumberFormat="1" applyFont="1" applyBorder="1" applyAlignment="1">
      <alignment horizontal="center" vertical="center" shrinkToFit="1"/>
    </xf>
    <xf numFmtId="176" fontId="12" fillId="0" borderId="10" xfId="0" applyNumberFormat="1" applyFont="1" applyBorder="1" applyAlignment="1">
      <alignment horizontal="center" vertical="center" shrinkToFit="1"/>
    </xf>
    <xf numFmtId="176" fontId="12" fillId="0" borderId="32" xfId="0" applyNumberFormat="1" applyFont="1" applyBorder="1" applyAlignment="1">
      <alignment horizontal="center" vertical="center"/>
    </xf>
    <xf numFmtId="176" fontId="12" fillId="0" borderId="46" xfId="0" applyNumberFormat="1" applyFont="1" applyBorder="1" applyAlignment="1">
      <alignment horizontal="center" vertical="center"/>
    </xf>
    <xf numFmtId="176" fontId="12" fillId="0" borderId="36" xfId="0" applyNumberFormat="1" applyFont="1" applyBorder="1" applyAlignment="1">
      <alignment horizontal="center" vertical="center"/>
    </xf>
    <xf numFmtId="176" fontId="12" fillId="0" borderId="47" xfId="0" applyNumberFormat="1" applyFont="1" applyBorder="1" applyAlignment="1">
      <alignment horizontal="center" vertical="center"/>
    </xf>
    <xf numFmtId="180" fontId="12" fillId="5" borderId="24" xfId="0" applyNumberFormat="1" applyFont="1" applyFill="1" applyBorder="1" applyAlignment="1">
      <alignment horizontal="center" vertical="center" shrinkToFit="1"/>
    </xf>
    <xf numFmtId="180" fontId="12" fillId="5" borderId="9" xfId="0" applyNumberFormat="1" applyFont="1" applyFill="1" applyBorder="1" applyAlignment="1">
      <alignment horizontal="center" vertical="center" shrinkToFit="1"/>
    </xf>
    <xf numFmtId="180" fontId="12" fillId="5" borderId="10" xfId="0" applyNumberFormat="1" applyFont="1" applyFill="1" applyBorder="1" applyAlignment="1">
      <alignment horizontal="center" vertical="center" shrinkToFit="1"/>
    </xf>
    <xf numFmtId="180" fontId="12" fillId="5" borderId="32" xfId="0" applyNumberFormat="1" applyFont="1" applyFill="1" applyBorder="1" applyAlignment="1">
      <alignment horizontal="center" vertical="center" shrinkToFit="1"/>
    </xf>
    <xf numFmtId="180" fontId="12" fillId="5" borderId="13" xfId="0" applyNumberFormat="1" applyFont="1" applyFill="1" applyBorder="1" applyAlignment="1">
      <alignment horizontal="center" vertical="center" shrinkToFit="1"/>
    </xf>
    <xf numFmtId="180" fontId="12" fillId="5" borderId="33" xfId="0" applyNumberFormat="1" applyFont="1" applyFill="1" applyBorder="1" applyAlignment="1">
      <alignment horizontal="center" vertical="center" shrinkToFit="1"/>
    </xf>
    <xf numFmtId="182" fontId="12" fillId="5" borderId="32" xfId="0" applyNumberFormat="1" applyFont="1" applyFill="1" applyBorder="1" applyAlignment="1">
      <alignment horizontal="center" vertical="center" shrinkToFit="1"/>
    </xf>
    <xf numFmtId="182" fontId="12" fillId="5" borderId="13" xfId="0" applyNumberFormat="1" applyFont="1" applyFill="1" applyBorder="1" applyAlignment="1">
      <alignment horizontal="center" vertical="center" shrinkToFit="1"/>
    </xf>
    <xf numFmtId="182" fontId="12" fillId="5" borderId="33" xfId="0" applyNumberFormat="1" applyFont="1" applyFill="1" applyBorder="1" applyAlignment="1">
      <alignment horizontal="center" vertical="center" shrinkToFit="1"/>
    </xf>
    <xf numFmtId="179" fontId="12" fillId="5" borderId="24" xfId="0" applyNumberFormat="1" applyFont="1" applyFill="1" applyBorder="1" applyAlignment="1">
      <alignment horizontal="center" vertical="center" shrinkToFit="1"/>
    </xf>
    <xf numFmtId="179" fontId="12" fillId="5" borderId="9" xfId="0" applyNumberFormat="1" applyFont="1" applyFill="1" applyBorder="1" applyAlignment="1">
      <alignment horizontal="center" vertical="center" shrinkToFit="1"/>
    </xf>
    <xf numFmtId="179" fontId="12" fillId="5" borderId="10" xfId="0" applyNumberFormat="1" applyFont="1" applyFill="1" applyBorder="1" applyAlignment="1">
      <alignment horizontal="center" vertical="center" shrinkToFit="1"/>
    </xf>
    <xf numFmtId="180" fontId="12" fillId="0" borderId="32" xfId="0" applyNumberFormat="1" applyFont="1" applyBorder="1" applyAlignment="1">
      <alignment horizontal="center" vertical="center" shrinkToFit="1"/>
    </xf>
    <xf numFmtId="180" fontId="12" fillId="0" borderId="72" xfId="0" applyNumberFormat="1" applyFont="1" applyBorder="1" applyAlignment="1">
      <alignment horizontal="center" vertical="center" shrinkToFit="1"/>
    </xf>
    <xf numFmtId="180" fontId="12" fillId="0" borderId="33" xfId="0" applyNumberFormat="1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48" xfId="0" applyNumberFormat="1" applyFont="1" applyBorder="1" applyAlignment="1">
      <alignment horizontal="center" vertical="center"/>
    </xf>
    <xf numFmtId="176" fontId="12" fillId="0" borderId="49" xfId="0" applyNumberFormat="1" applyFont="1" applyBorder="1" applyAlignment="1">
      <alignment horizontal="center" vertical="center"/>
    </xf>
    <xf numFmtId="176" fontId="12" fillId="0" borderId="33" xfId="0" applyNumberFormat="1" applyFont="1" applyBorder="1" applyAlignment="1">
      <alignment horizontal="center" vertical="center"/>
    </xf>
    <xf numFmtId="176" fontId="12" fillId="0" borderId="37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80" fontId="12" fillId="0" borderId="27" xfId="0" applyNumberFormat="1" applyFont="1" applyBorder="1" applyAlignment="1">
      <alignment horizontal="center" vertical="center" shrinkToFit="1"/>
    </xf>
    <xf numFmtId="176" fontId="12" fillId="0" borderId="24" xfId="0" applyNumberFormat="1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176" fontId="12" fillId="0" borderId="10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33" xfId="0" applyFont="1" applyBorder="1" applyAlignment="1">
      <alignment horizontal="center" vertical="center" shrinkToFit="1"/>
    </xf>
    <xf numFmtId="180" fontId="12" fillId="0" borderId="63" xfId="0" applyNumberFormat="1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180" fontId="31" fillId="0" borderId="24" xfId="0" applyNumberFormat="1" applyFont="1" applyBorder="1" applyAlignment="1">
      <alignment horizontal="center" vertical="center" shrinkToFit="1"/>
    </xf>
    <xf numFmtId="180" fontId="31" fillId="0" borderId="9" xfId="0" applyNumberFormat="1" applyFont="1" applyBorder="1" applyAlignment="1">
      <alignment horizontal="center" vertical="center" shrinkToFit="1"/>
    </xf>
    <xf numFmtId="180" fontId="31" fillId="0" borderId="10" xfId="0" applyNumberFormat="1" applyFont="1" applyBorder="1" applyAlignment="1">
      <alignment horizontal="center" vertical="center" shrinkToFit="1"/>
    </xf>
    <xf numFmtId="182" fontId="12" fillId="0" borderId="24" xfId="0" applyNumberFormat="1" applyFont="1" applyBorder="1" applyAlignment="1">
      <alignment horizontal="center" vertical="center" shrinkToFit="1"/>
    </xf>
    <xf numFmtId="182" fontId="12" fillId="0" borderId="9" xfId="0" applyNumberFormat="1" applyFont="1" applyBorder="1" applyAlignment="1">
      <alignment horizontal="center" vertical="center" shrinkToFit="1"/>
    </xf>
    <xf numFmtId="182" fontId="12" fillId="0" borderId="10" xfId="0" applyNumberFormat="1" applyFont="1" applyBorder="1" applyAlignment="1">
      <alignment horizontal="center" vertical="center" shrinkToFit="1"/>
    </xf>
    <xf numFmtId="0" fontId="12" fillId="0" borderId="72" xfId="0" applyFont="1" applyBorder="1" applyAlignment="1">
      <alignment horizontal="center" vertical="center" shrinkToFit="1"/>
    </xf>
    <xf numFmtId="0" fontId="12" fillId="0" borderId="63" xfId="0" applyFont="1" applyBorder="1" applyAlignment="1">
      <alignment horizontal="center" vertical="center" shrinkToFit="1"/>
    </xf>
    <xf numFmtId="182" fontId="12" fillId="0" borderId="63" xfId="0" applyNumberFormat="1" applyFont="1" applyBorder="1" applyAlignment="1">
      <alignment horizontal="center" vertical="center" shrinkToFit="1"/>
    </xf>
    <xf numFmtId="182" fontId="12" fillId="0" borderId="32" xfId="0" applyNumberFormat="1" applyFont="1" applyBorder="1" applyAlignment="1">
      <alignment horizontal="center" vertical="center" shrinkToFit="1"/>
    </xf>
    <xf numFmtId="182" fontId="12" fillId="0" borderId="13" xfId="0" applyNumberFormat="1" applyFont="1" applyBorder="1" applyAlignment="1">
      <alignment horizontal="center" vertical="center" shrinkToFit="1"/>
    </xf>
    <xf numFmtId="182" fontId="12" fillId="0" borderId="33" xfId="0" applyNumberFormat="1" applyFont="1" applyBorder="1" applyAlignment="1">
      <alignment horizontal="center" vertical="center" shrinkToFit="1"/>
    </xf>
    <xf numFmtId="180" fontId="12" fillId="0" borderId="13" xfId="0" applyNumberFormat="1" applyFont="1" applyBorder="1" applyAlignment="1">
      <alignment horizontal="center" vertical="center" shrinkToFit="1"/>
    </xf>
    <xf numFmtId="180" fontId="40" fillId="0" borderId="24" xfId="0" applyNumberFormat="1" applyFont="1" applyBorder="1" applyAlignment="1">
      <alignment horizontal="center" vertical="center" shrinkToFit="1"/>
    </xf>
    <xf numFmtId="180" fontId="40" fillId="0" borderId="63" xfId="0" applyNumberFormat="1" applyFont="1" applyBorder="1" applyAlignment="1">
      <alignment horizontal="center" vertical="center" shrinkToFit="1"/>
    </xf>
    <xf numFmtId="180" fontId="40" fillId="0" borderId="10" xfId="0" applyNumberFormat="1" applyFont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shrinkToFit="1"/>
    </xf>
    <xf numFmtId="0" fontId="40" fillId="0" borderId="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9">
    <cellStyle name="Grey" xfId="1" xr:uid="{00000000-0005-0000-0000-000000000000}"/>
    <cellStyle name="Header1" xfId="2" xr:uid="{00000000-0005-0000-0000-000001000000}"/>
    <cellStyle name="Header2" xfId="3" xr:uid="{00000000-0005-0000-0000-000002000000}"/>
    <cellStyle name="Input [yellow]" xfId="4" xr:uid="{00000000-0005-0000-0000-000003000000}"/>
    <cellStyle name="Normal - Style1" xfId="5" xr:uid="{00000000-0005-0000-0000-000004000000}"/>
    <cellStyle name="Percent [2]" xfId="6" xr:uid="{00000000-0005-0000-0000-000005000000}"/>
    <cellStyle name="桁区切り2" xfId="7" xr:uid="{00000000-0005-0000-0000-000006000000}"/>
    <cellStyle name="標準" xfId="0" builtinId="0"/>
    <cellStyle name="標準 2" xfId="18" xr:uid="{07EC8E01-6EEC-4A45-812E-1DB842349A79}"/>
    <cellStyle name="標準_（様式７、9,10）幹線計算060607" xfId="8" xr:uid="{00000000-0005-0000-0000-000008000000}"/>
    <cellStyle name="標準2" xfId="9" xr:uid="{00000000-0005-0000-0000-000009000000}"/>
    <cellStyle name="標準3" xfId="10" xr:uid="{00000000-0005-0000-0000-00000A000000}"/>
    <cellStyle name="標準4" xfId="11" xr:uid="{00000000-0005-0000-0000-00000B000000}"/>
    <cellStyle name="標準５" xfId="12" xr:uid="{00000000-0005-0000-0000-00000C000000}"/>
    <cellStyle name="標準6" xfId="13" xr:uid="{00000000-0005-0000-0000-00000D000000}"/>
    <cellStyle name="標準LOCK" xfId="14" xr:uid="{00000000-0005-0000-0000-00000E000000}"/>
    <cellStyle name="標準N-LOCK" xfId="15" xr:uid="{00000000-0005-0000-0000-00000F000000}"/>
    <cellStyle name="標準ｺﾞｼｯｸ" xfId="16" xr:uid="{00000000-0005-0000-0000-000010000000}"/>
    <cellStyle name="未定義" xfId="17" xr:uid="{00000000-0005-0000-0000-000011000000}"/>
  </cellStyles>
  <dxfs count="0"/>
  <tableStyles count="0" defaultTableStyle="TableStyleMedium9" defaultPivotStyle="PivotStyleLight16"/>
  <colors>
    <mruColors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451816</xdr:colOff>
      <xdr:row>82</xdr:row>
      <xdr:rowOff>0</xdr:rowOff>
    </xdr:from>
    <xdr:to>
      <xdr:col>20</xdr:col>
      <xdr:colOff>288482</xdr:colOff>
      <xdr:row>86</xdr:row>
      <xdr:rowOff>152400</xdr:rowOff>
    </xdr:to>
    <xdr:pic>
      <xdr:nvPicPr>
        <xdr:cNvPr id="5" name="Picture 172" descr="図3">
          <a:extLst>
            <a:ext uri="{FF2B5EF4-FFF2-40B4-BE49-F238E27FC236}">
              <a16:creationId xmlns:a16="http://schemas.microsoft.com/office/drawing/2014/main" id="{B2923B65-CA0E-485A-ADCF-68F42B4E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8391" y="5600700"/>
          <a:ext cx="263701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149087</xdr:colOff>
      <xdr:row>83</xdr:row>
      <xdr:rowOff>66262</xdr:rowOff>
    </xdr:from>
    <xdr:ext cx="924933" cy="2853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D8C4C4F1-805A-47C5-8219-E56EAF9A5824}"/>
                </a:ext>
              </a:extLst>
            </xdr:cNvPr>
            <xdr:cNvSpPr txBox="1"/>
          </xdr:nvSpPr>
          <xdr:spPr>
            <a:xfrm>
              <a:off x="149087" y="5838412"/>
              <a:ext cx="924933" cy="2853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𝑒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𝐾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ℓ</m:t>
                        </m:r>
                      </m:num>
                      <m:den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1,000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den>
                    </m:f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[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𝑉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D8C4C4F1-805A-47C5-8219-E56EAF9A5824}"/>
                </a:ext>
              </a:extLst>
            </xdr:cNvPr>
            <xdr:cNvSpPr txBox="1"/>
          </xdr:nvSpPr>
          <xdr:spPr>
            <a:xfrm>
              <a:off x="149087" y="5838412"/>
              <a:ext cx="924933" cy="2853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𝑒=𝐾′𝐼ℓ/(1,000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×𝐴) 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[𝑉]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34787</xdr:colOff>
      <xdr:row>83</xdr:row>
      <xdr:rowOff>94837</xdr:rowOff>
    </xdr:from>
    <xdr:ext cx="1081130" cy="2828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1ADCED3E-16A3-4A8E-95EE-03E8D9CB088A}"/>
                </a:ext>
              </a:extLst>
            </xdr:cNvPr>
            <xdr:cNvSpPr txBox="1"/>
          </xdr:nvSpPr>
          <xdr:spPr>
            <a:xfrm>
              <a:off x="5568812" y="5866987"/>
              <a:ext cx="1081130" cy="2828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𝐴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1" lang="en-US" altLang="ja-JP" sz="9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9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𝐾</m:t>
                            </m:r>
                          </m:e>
                          <m:sup>
                            <m:r>
                              <a:rPr kumimoji="1" lang="en-US" altLang="ja-JP" sz="9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𝐼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ℓ</m:t>
                        </m:r>
                      </m:num>
                      <m:den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1,000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den>
                    </m:f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  <m:r>
                      <a:rPr kumimoji="1" lang="en-US" altLang="ja-JP" sz="900" b="0" i="1" baseline="30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1ADCED3E-16A3-4A8E-95EE-03E8D9CB088A}"/>
                </a:ext>
              </a:extLst>
            </xdr:cNvPr>
            <xdr:cNvSpPr txBox="1"/>
          </xdr:nvSpPr>
          <xdr:spPr>
            <a:xfrm>
              <a:off x="5568812" y="5866987"/>
              <a:ext cx="1081130" cy="2828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𝐴=(𝐾^′ 𝐼ℓ)/(1,000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×𝑒)[𝑚𝑚</a:t>
              </a:r>
              <a:r>
                <a:rPr kumimoji="1" lang="en-US" altLang="ja-JP" sz="900" b="0" i="0" baseline="30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]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342071</xdr:colOff>
      <xdr:row>127</xdr:row>
      <xdr:rowOff>93593</xdr:rowOff>
    </xdr:from>
    <xdr:to>
      <xdr:col>19</xdr:col>
      <xdr:colOff>3477</xdr:colOff>
      <xdr:row>132</xdr:row>
      <xdr:rowOff>81583</xdr:rowOff>
    </xdr:to>
    <xdr:pic>
      <xdr:nvPicPr>
        <xdr:cNvPr id="2" name="Picture 92" descr="図2">
          <a:extLst>
            <a:ext uri="{FF2B5EF4-FFF2-40B4-BE49-F238E27FC236}">
              <a16:creationId xmlns:a16="http://schemas.microsoft.com/office/drawing/2014/main" id="{BFCF478F-5E76-4705-A4DE-F53904A19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246" y="8780393"/>
          <a:ext cx="2490331" cy="84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163994</xdr:colOff>
      <xdr:row>128</xdr:row>
      <xdr:rowOff>68746</xdr:rowOff>
    </xdr:from>
    <xdr:ext cx="777299" cy="2772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8D2D4599-74B6-45C8-A61D-EE36BBB7037D}"/>
                </a:ext>
              </a:extLst>
            </xdr:cNvPr>
            <xdr:cNvSpPr txBox="1"/>
          </xdr:nvSpPr>
          <xdr:spPr>
            <a:xfrm>
              <a:off x="163994" y="8926996"/>
              <a:ext cx="777299" cy="2772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𝑒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KI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ℓ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num>
                      <m:den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1,000</m:t>
                        </m:r>
                      </m:den>
                    </m:f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[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𝑉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8D2D4599-74B6-45C8-A61D-EE36BBB7037D}"/>
                </a:ext>
              </a:extLst>
            </xdr:cNvPr>
            <xdr:cNvSpPr txBox="1"/>
          </xdr:nvSpPr>
          <xdr:spPr>
            <a:xfrm>
              <a:off x="163994" y="8926996"/>
              <a:ext cx="777299" cy="2772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𝑒=KI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ℓ𝑍/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1,000  [𝑉]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14</xdr:col>
      <xdr:colOff>342071</xdr:colOff>
      <xdr:row>230</xdr:row>
      <xdr:rowOff>93593</xdr:rowOff>
    </xdr:from>
    <xdr:ext cx="2490331" cy="845240"/>
    <xdr:pic>
      <xdr:nvPicPr>
        <xdr:cNvPr id="4" name="Picture 92" descr="図2">
          <a:extLst>
            <a:ext uri="{FF2B5EF4-FFF2-40B4-BE49-F238E27FC236}">
              <a16:creationId xmlns:a16="http://schemas.microsoft.com/office/drawing/2014/main" id="{C4A5DC74-57C1-4EC2-8AAF-161F12DDA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246" y="14438243"/>
          <a:ext cx="2490331" cy="84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163994</xdr:colOff>
      <xdr:row>231</xdr:row>
      <xdr:rowOff>68746</xdr:rowOff>
    </xdr:from>
    <xdr:ext cx="777299" cy="2772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13A5B5FA-A6CF-4E2F-95C5-0D722506B062}"/>
                </a:ext>
              </a:extLst>
            </xdr:cNvPr>
            <xdr:cNvSpPr txBox="1"/>
          </xdr:nvSpPr>
          <xdr:spPr>
            <a:xfrm>
              <a:off x="163994" y="14584846"/>
              <a:ext cx="777299" cy="2772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𝑒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KI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ℓ</m:t>
                        </m:r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num>
                      <m:den>
                        <m:r>
                          <a:rPr kumimoji="1" lang="en-US" altLang="ja-JP" sz="9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1,000</m:t>
                        </m:r>
                      </m:den>
                    </m:f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[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𝑉</m:t>
                    </m:r>
                    <m:r>
                      <a:rPr kumimoji="1" lang="en-US" altLang="ja-JP" sz="9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13A5B5FA-A6CF-4E2F-95C5-0D722506B062}"/>
                </a:ext>
              </a:extLst>
            </xdr:cNvPr>
            <xdr:cNvSpPr txBox="1"/>
          </xdr:nvSpPr>
          <xdr:spPr>
            <a:xfrm>
              <a:off x="163994" y="14584846"/>
              <a:ext cx="777299" cy="2772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𝑒=KI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ℓ𝑍/</a:t>
              </a:r>
              <a:r>
                <a:rPr kumimoji="1" lang="en-US" altLang="ja-JP" sz="9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1,000  [𝑉]</a:t>
              </a:r>
              <a:endParaRPr kumimoji="1" lang="ja-JP" altLang="en-US" sz="9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8"/>
  <sheetViews>
    <sheetView view="pageBreakPreview" zoomScale="235" zoomScaleNormal="130" zoomScaleSheetLayoutView="235" workbookViewId="0">
      <selection activeCell="A35" sqref="A35:A38"/>
    </sheetView>
  </sheetViews>
  <sheetFormatPr defaultRowHeight="11.25" x14ac:dyDescent="0.15"/>
  <cols>
    <col min="1" max="1" width="4.625" style="49" customWidth="1"/>
    <col min="2" max="2" width="7.5" style="49" bestFit="1" customWidth="1"/>
    <col min="3" max="3" width="5.25" style="49" bestFit="1" customWidth="1"/>
    <col min="4" max="4" width="6.625" style="49" customWidth="1"/>
    <col min="5" max="8" width="2.625" style="49" customWidth="1"/>
    <col min="9" max="9" width="6.625" style="49" customWidth="1"/>
    <col min="10" max="10" width="16.25" style="49" customWidth="1"/>
    <col min="11" max="11" width="8.625" style="49" customWidth="1"/>
    <col min="12" max="14" width="6.625" style="50" customWidth="1"/>
    <col min="15" max="15" width="4.5" style="50" bestFit="1" customWidth="1"/>
    <col min="16" max="16" width="6" style="63" bestFit="1" customWidth="1"/>
    <col min="17" max="18" width="8.625" style="49" customWidth="1"/>
    <col min="19" max="19" width="6.625" style="49" customWidth="1"/>
    <col min="20" max="21" width="6.875" style="49" customWidth="1"/>
    <col min="22" max="16384" width="9" style="49"/>
  </cols>
  <sheetData>
    <row r="1" spans="1:21" s="36" customFormat="1" ht="12" thickBot="1" x14ac:dyDescent="0.2">
      <c r="L1" s="37"/>
      <c r="M1" s="37"/>
      <c r="N1" s="37"/>
      <c r="O1" s="37"/>
      <c r="P1" s="55"/>
      <c r="U1" s="38" t="s">
        <v>25</v>
      </c>
    </row>
    <row r="2" spans="1:21" s="7" customFormat="1" ht="30" customHeight="1" x14ac:dyDescent="0.15">
      <c r="A2" s="11" t="s">
        <v>24</v>
      </c>
      <c r="B2" s="39"/>
      <c r="C2" s="2"/>
      <c r="D2" s="1"/>
      <c r="E2" s="2"/>
      <c r="F2" s="2"/>
      <c r="G2" s="3"/>
      <c r="H2" s="4" t="e">
        <f>+#REF!&amp;#REF!</f>
        <v>#REF!</v>
      </c>
      <c r="I2" s="4"/>
      <c r="J2" s="2"/>
      <c r="K2" s="2"/>
      <c r="L2" s="2"/>
      <c r="M2" s="2"/>
      <c r="N2" s="2"/>
      <c r="O2" s="2"/>
      <c r="P2" s="56"/>
      <c r="Q2" s="5"/>
      <c r="R2" s="5"/>
      <c r="S2" s="5"/>
      <c r="T2" s="5"/>
      <c r="U2" s="6" t="e">
        <f>+#REF!</f>
        <v>#REF!</v>
      </c>
    </row>
    <row r="3" spans="1:21" s="18" customFormat="1" ht="17.25" customHeight="1" x14ac:dyDescent="0.15">
      <c r="A3" s="53"/>
      <c r="B3" s="40" t="s">
        <v>36</v>
      </c>
      <c r="C3" s="54" t="s">
        <v>64</v>
      </c>
      <c r="D3" s="41"/>
      <c r="E3" s="17"/>
      <c r="F3" s="16"/>
      <c r="G3" s="15"/>
      <c r="H3" s="15"/>
      <c r="I3" s="15"/>
      <c r="J3" s="15"/>
      <c r="K3" s="15"/>
      <c r="L3" s="15"/>
      <c r="M3" s="15"/>
      <c r="N3" s="15"/>
      <c r="O3" s="15"/>
      <c r="P3" s="57"/>
      <c r="Q3" s="15"/>
      <c r="R3" s="15"/>
      <c r="S3" s="15"/>
      <c r="T3" s="15"/>
      <c r="U3" s="68"/>
    </row>
    <row r="4" spans="1:21" s="18" customFormat="1" ht="15" customHeight="1" x14ac:dyDescent="0.15">
      <c r="A4" s="247" t="s">
        <v>14</v>
      </c>
      <c r="B4" s="193" t="s">
        <v>8</v>
      </c>
      <c r="C4" s="193" t="s">
        <v>0</v>
      </c>
      <c r="D4" s="256" t="s">
        <v>15</v>
      </c>
      <c r="E4" s="196" t="s">
        <v>1</v>
      </c>
      <c r="F4" s="196"/>
      <c r="G4" s="196"/>
      <c r="H4" s="196"/>
      <c r="I4" s="193" t="s">
        <v>2</v>
      </c>
      <c r="J4" s="193" t="s">
        <v>3</v>
      </c>
      <c r="K4" s="193" t="s">
        <v>16</v>
      </c>
      <c r="L4" s="223" t="s">
        <v>54</v>
      </c>
      <c r="M4" s="223" t="s">
        <v>58</v>
      </c>
      <c r="N4" s="223" t="s">
        <v>66</v>
      </c>
      <c r="O4" s="269" t="s">
        <v>31</v>
      </c>
      <c r="P4" s="196"/>
      <c r="Q4" s="196"/>
      <c r="R4" s="196"/>
      <c r="S4" s="270"/>
      <c r="T4" s="193" t="s">
        <v>41</v>
      </c>
      <c r="U4" s="238" t="s">
        <v>6</v>
      </c>
    </row>
    <row r="5" spans="1:21" s="8" customFormat="1" ht="15" customHeight="1" x14ac:dyDescent="0.15">
      <c r="A5" s="248"/>
      <c r="B5" s="194"/>
      <c r="C5" s="194"/>
      <c r="D5" s="257"/>
      <c r="E5" s="197"/>
      <c r="F5" s="197"/>
      <c r="G5" s="197"/>
      <c r="H5" s="197"/>
      <c r="I5" s="194"/>
      <c r="J5" s="194"/>
      <c r="K5" s="194"/>
      <c r="L5" s="224"/>
      <c r="M5" s="224"/>
      <c r="N5" s="268"/>
      <c r="O5" s="271" t="s">
        <v>34</v>
      </c>
      <c r="P5" s="272"/>
      <c r="Q5" s="193" t="s">
        <v>26</v>
      </c>
      <c r="R5" s="231" t="s">
        <v>38</v>
      </c>
      <c r="S5" s="34" t="s">
        <v>27</v>
      </c>
      <c r="T5" s="194"/>
      <c r="U5" s="239"/>
    </row>
    <row r="6" spans="1:21" s="8" customFormat="1" ht="15" customHeight="1" x14ac:dyDescent="0.15">
      <c r="A6" s="249"/>
      <c r="B6" s="195"/>
      <c r="C6" s="32" t="s">
        <v>17</v>
      </c>
      <c r="D6" s="32" t="s">
        <v>18</v>
      </c>
      <c r="E6" s="198"/>
      <c r="F6" s="198"/>
      <c r="G6" s="198"/>
      <c r="H6" s="198"/>
      <c r="I6" s="32" t="s">
        <v>37</v>
      </c>
      <c r="J6" s="195"/>
      <c r="K6" s="32" t="s">
        <v>19</v>
      </c>
      <c r="L6" s="51" t="s">
        <v>20</v>
      </c>
      <c r="M6" s="76" t="s">
        <v>47</v>
      </c>
      <c r="N6" s="83" t="s">
        <v>67</v>
      </c>
      <c r="O6" s="273" t="s">
        <v>13</v>
      </c>
      <c r="P6" s="274"/>
      <c r="Q6" s="195"/>
      <c r="R6" s="232"/>
      <c r="S6" s="32" t="s">
        <v>30</v>
      </c>
      <c r="T6" s="32" t="s">
        <v>21</v>
      </c>
      <c r="U6" s="69" t="s">
        <v>29</v>
      </c>
    </row>
    <row r="7" spans="1:21" s="42" customFormat="1" ht="5.0999999999999996" customHeight="1" x14ac:dyDescent="0.15">
      <c r="A7" s="202"/>
      <c r="B7" s="199"/>
      <c r="C7" s="199"/>
      <c r="D7" s="199"/>
      <c r="E7" s="13"/>
      <c r="F7" s="12"/>
      <c r="G7" s="12"/>
      <c r="H7" s="14"/>
      <c r="I7" s="220"/>
      <c r="J7" s="217"/>
      <c r="K7" s="214"/>
      <c r="L7" s="253"/>
      <c r="M7" s="254"/>
      <c r="N7" s="263"/>
      <c r="O7" s="240"/>
      <c r="P7" s="241"/>
      <c r="Q7" s="211"/>
      <c r="R7" s="199"/>
      <c r="S7" s="233"/>
      <c r="T7" s="228"/>
      <c r="U7" s="225"/>
    </row>
    <row r="8" spans="1:21" s="42" customFormat="1" ht="5.0999999999999996" customHeight="1" x14ac:dyDescent="0.15">
      <c r="A8" s="203"/>
      <c r="B8" s="200"/>
      <c r="C8" s="200"/>
      <c r="D8" s="200"/>
      <c r="E8" s="13"/>
      <c r="F8" s="12"/>
      <c r="G8" s="12"/>
      <c r="H8" s="14"/>
      <c r="I8" s="221"/>
      <c r="J8" s="218"/>
      <c r="K8" s="215"/>
      <c r="L8" s="254"/>
      <c r="M8" s="254"/>
      <c r="N8" s="264"/>
      <c r="O8" s="242"/>
      <c r="P8" s="243"/>
      <c r="Q8" s="212"/>
      <c r="R8" s="200"/>
      <c r="S8" s="234"/>
      <c r="T8" s="229"/>
      <c r="U8" s="226"/>
    </row>
    <row r="9" spans="1:21" s="42" customFormat="1" ht="5.0999999999999996" customHeight="1" x14ac:dyDescent="0.15">
      <c r="A9" s="203"/>
      <c r="B9" s="200"/>
      <c r="C9" s="200"/>
      <c r="D9" s="200"/>
      <c r="E9" s="13"/>
      <c r="F9" s="12"/>
      <c r="G9" s="12"/>
      <c r="H9" s="14"/>
      <c r="I9" s="221"/>
      <c r="J9" s="218"/>
      <c r="K9" s="215"/>
      <c r="L9" s="254"/>
      <c r="M9" s="254"/>
      <c r="N9" s="264"/>
      <c r="O9" s="244"/>
      <c r="P9" s="236"/>
      <c r="Q9" s="212"/>
      <c r="R9" s="200"/>
      <c r="S9" s="234"/>
      <c r="T9" s="229"/>
      <c r="U9" s="226"/>
    </row>
    <row r="10" spans="1:21" s="42" customFormat="1" ht="5.0999999999999996" customHeight="1" x14ac:dyDescent="0.15">
      <c r="A10" s="204"/>
      <c r="B10" s="201"/>
      <c r="C10" s="201"/>
      <c r="D10" s="201"/>
      <c r="E10" s="13"/>
      <c r="F10" s="12"/>
      <c r="G10" s="12"/>
      <c r="H10" s="14"/>
      <c r="I10" s="222"/>
      <c r="J10" s="219"/>
      <c r="K10" s="216"/>
      <c r="L10" s="255"/>
      <c r="M10" s="255"/>
      <c r="N10" s="265"/>
      <c r="O10" s="242"/>
      <c r="P10" s="237"/>
      <c r="Q10" s="213"/>
      <c r="R10" s="201"/>
      <c r="S10" s="235"/>
      <c r="T10" s="230"/>
      <c r="U10" s="227"/>
    </row>
    <row r="11" spans="1:21" s="42" customFormat="1" ht="5.0999999999999996" customHeight="1" x14ac:dyDescent="0.15">
      <c r="A11" s="205"/>
      <c r="B11" s="199"/>
      <c r="C11" s="208"/>
      <c r="D11" s="208"/>
      <c r="E11" s="13"/>
      <c r="F11" s="12"/>
      <c r="G11" s="12"/>
      <c r="H11" s="14"/>
      <c r="I11" s="250"/>
      <c r="J11" s="217"/>
      <c r="K11" s="214"/>
      <c r="L11" s="253"/>
      <c r="M11" s="253"/>
      <c r="N11" s="263"/>
      <c r="O11" s="240"/>
      <c r="P11" s="241"/>
      <c r="Q11" s="211"/>
      <c r="R11" s="199"/>
      <c r="S11" s="233"/>
      <c r="T11" s="228"/>
      <c r="U11" s="225"/>
    </row>
    <row r="12" spans="1:21" s="42" customFormat="1" ht="5.0999999999999996" customHeight="1" x14ac:dyDescent="0.15">
      <c r="A12" s="206"/>
      <c r="B12" s="200"/>
      <c r="C12" s="209"/>
      <c r="D12" s="209"/>
      <c r="E12" s="13"/>
      <c r="F12" s="12"/>
      <c r="G12" s="12"/>
      <c r="H12" s="14"/>
      <c r="I12" s="251"/>
      <c r="J12" s="218"/>
      <c r="K12" s="215"/>
      <c r="L12" s="254"/>
      <c r="M12" s="254"/>
      <c r="N12" s="264"/>
      <c r="O12" s="242"/>
      <c r="P12" s="243"/>
      <c r="Q12" s="212"/>
      <c r="R12" s="200"/>
      <c r="S12" s="234"/>
      <c r="T12" s="229"/>
      <c r="U12" s="226"/>
    </row>
    <row r="13" spans="1:21" s="42" customFormat="1" ht="5.0999999999999996" customHeight="1" x14ac:dyDescent="0.15">
      <c r="A13" s="206"/>
      <c r="B13" s="200"/>
      <c r="C13" s="209"/>
      <c r="D13" s="209"/>
      <c r="E13" s="13"/>
      <c r="F13" s="12"/>
      <c r="G13" s="12"/>
      <c r="H13" s="14"/>
      <c r="I13" s="251"/>
      <c r="J13" s="218"/>
      <c r="K13" s="215"/>
      <c r="L13" s="254"/>
      <c r="M13" s="254"/>
      <c r="N13" s="264"/>
      <c r="O13" s="245"/>
      <c r="P13" s="266"/>
      <c r="Q13" s="212"/>
      <c r="R13" s="200"/>
      <c r="S13" s="234"/>
      <c r="T13" s="229"/>
      <c r="U13" s="226"/>
    </row>
    <row r="14" spans="1:21" s="42" customFormat="1" ht="5.0999999999999996" customHeight="1" x14ac:dyDescent="0.15">
      <c r="A14" s="207"/>
      <c r="B14" s="201"/>
      <c r="C14" s="210"/>
      <c r="D14" s="210"/>
      <c r="E14" s="13"/>
      <c r="F14" s="12"/>
      <c r="G14" s="12"/>
      <c r="H14" s="14"/>
      <c r="I14" s="252"/>
      <c r="J14" s="219"/>
      <c r="K14" s="216"/>
      <c r="L14" s="255"/>
      <c r="M14" s="255"/>
      <c r="N14" s="265"/>
      <c r="O14" s="246"/>
      <c r="P14" s="267"/>
      <c r="Q14" s="213"/>
      <c r="R14" s="201"/>
      <c r="S14" s="235"/>
      <c r="T14" s="230"/>
      <c r="U14" s="227"/>
    </row>
    <row r="15" spans="1:21" s="42" customFormat="1" ht="5.0999999999999996" customHeight="1" x14ac:dyDescent="0.15">
      <c r="A15" s="202"/>
      <c r="B15" s="199"/>
      <c r="C15" s="199"/>
      <c r="D15" s="199"/>
      <c r="E15" s="13"/>
      <c r="F15" s="12"/>
      <c r="G15" s="12"/>
      <c r="H15" s="14"/>
      <c r="I15" s="220"/>
      <c r="J15" s="217"/>
      <c r="K15" s="214"/>
      <c r="L15" s="253"/>
      <c r="M15" s="254"/>
      <c r="N15" s="263"/>
      <c r="O15" s="240"/>
      <c r="P15" s="241"/>
      <c r="Q15" s="211"/>
      <c r="R15" s="199"/>
      <c r="S15" s="233"/>
      <c r="T15" s="228"/>
      <c r="U15" s="225"/>
    </row>
    <row r="16" spans="1:21" s="42" customFormat="1" ht="5.0999999999999996" customHeight="1" x14ac:dyDescent="0.15">
      <c r="A16" s="203"/>
      <c r="B16" s="200"/>
      <c r="C16" s="200"/>
      <c r="D16" s="200"/>
      <c r="E16" s="13"/>
      <c r="F16" s="12"/>
      <c r="G16" s="12"/>
      <c r="H16" s="14"/>
      <c r="I16" s="221"/>
      <c r="J16" s="218"/>
      <c r="K16" s="215"/>
      <c r="L16" s="254"/>
      <c r="M16" s="254"/>
      <c r="N16" s="264"/>
      <c r="O16" s="242"/>
      <c r="P16" s="243"/>
      <c r="Q16" s="212"/>
      <c r="R16" s="200"/>
      <c r="S16" s="234"/>
      <c r="T16" s="229"/>
      <c r="U16" s="226"/>
    </row>
    <row r="17" spans="1:21" s="42" customFormat="1" ht="5.0999999999999996" customHeight="1" x14ac:dyDescent="0.15">
      <c r="A17" s="203"/>
      <c r="B17" s="200"/>
      <c r="C17" s="200"/>
      <c r="D17" s="200"/>
      <c r="E17" s="13"/>
      <c r="F17" s="12"/>
      <c r="G17" s="12"/>
      <c r="H17" s="14"/>
      <c r="I17" s="221"/>
      <c r="J17" s="218"/>
      <c r="K17" s="215"/>
      <c r="L17" s="254"/>
      <c r="M17" s="254"/>
      <c r="N17" s="264"/>
      <c r="O17" s="244"/>
      <c r="P17" s="236"/>
      <c r="Q17" s="212"/>
      <c r="R17" s="200"/>
      <c r="S17" s="234"/>
      <c r="T17" s="229"/>
      <c r="U17" s="226"/>
    </row>
    <row r="18" spans="1:21" s="42" customFormat="1" ht="5.0999999999999996" customHeight="1" x14ac:dyDescent="0.15">
      <c r="A18" s="204"/>
      <c r="B18" s="201"/>
      <c r="C18" s="201"/>
      <c r="D18" s="201"/>
      <c r="E18" s="13"/>
      <c r="F18" s="12"/>
      <c r="G18" s="12"/>
      <c r="H18" s="14"/>
      <c r="I18" s="222"/>
      <c r="J18" s="219"/>
      <c r="K18" s="216"/>
      <c r="L18" s="255"/>
      <c r="M18" s="255"/>
      <c r="N18" s="265"/>
      <c r="O18" s="242"/>
      <c r="P18" s="237"/>
      <c r="Q18" s="213"/>
      <c r="R18" s="201"/>
      <c r="S18" s="235"/>
      <c r="T18" s="230"/>
      <c r="U18" s="227"/>
    </row>
    <row r="19" spans="1:21" s="42" customFormat="1" ht="5.0999999999999996" customHeight="1" x14ac:dyDescent="0.15">
      <c r="A19" s="202"/>
      <c r="B19" s="199"/>
      <c r="C19" s="199"/>
      <c r="D19" s="199"/>
      <c r="E19" s="13"/>
      <c r="F19" s="12"/>
      <c r="G19" s="12"/>
      <c r="H19" s="14"/>
      <c r="I19" s="250"/>
      <c r="J19" s="217"/>
      <c r="K19" s="214"/>
      <c r="L19" s="253"/>
      <c r="M19" s="254"/>
      <c r="N19" s="263"/>
      <c r="O19" s="240"/>
      <c r="P19" s="241"/>
      <c r="Q19" s="211"/>
      <c r="R19" s="199"/>
      <c r="S19" s="233"/>
      <c r="T19" s="228"/>
      <c r="U19" s="225"/>
    </row>
    <row r="20" spans="1:21" s="42" customFormat="1" ht="5.0999999999999996" customHeight="1" x14ac:dyDescent="0.15">
      <c r="A20" s="203"/>
      <c r="B20" s="200"/>
      <c r="C20" s="200"/>
      <c r="D20" s="200"/>
      <c r="E20" s="13"/>
      <c r="F20" s="12"/>
      <c r="G20" s="12"/>
      <c r="H20" s="14"/>
      <c r="I20" s="251"/>
      <c r="J20" s="218"/>
      <c r="K20" s="215"/>
      <c r="L20" s="254"/>
      <c r="M20" s="254"/>
      <c r="N20" s="264"/>
      <c r="O20" s="242"/>
      <c r="P20" s="243"/>
      <c r="Q20" s="212"/>
      <c r="R20" s="200"/>
      <c r="S20" s="234"/>
      <c r="T20" s="229"/>
      <c r="U20" s="226"/>
    </row>
    <row r="21" spans="1:21" s="42" customFormat="1" ht="5.0999999999999996" customHeight="1" x14ac:dyDescent="0.15">
      <c r="A21" s="203"/>
      <c r="B21" s="200"/>
      <c r="C21" s="200"/>
      <c r="D21" s="200"/>
      <c r="E21" s="13"/>
      <c r="F21" s="12"/>
      <c r="G21" s="12"/>
      <c r="H21" s="14"/>
      <c r="I21" s="251"/>
      <c r="J21" s="218"/>
      <c r="K21" s="215"/>
      <c r="L21" s="254"/>
      <c r="M21" s="254"/>
      <c r="N21" s="264"/>
      <c r="O21" s="244"/>
      <c r="P21" s="236"/>
      <c r="Q21" s="212"/>
      <c r="R21" s="200"/>
      <c r="S21" s="234"/>
      <c r="T21" s="229"/>
      <c r="U21" s="226"/>
    </row>
    <row r="22" spans="1:21" s="42" customFormat="1" ht="5.0999999999999996" customHeight="1" x14ac:dyDescent="0.15">
      <c r="A22" s="204"/>
      <c r="B22" s="201"/>
      <c r="C22" s="201"/>
      <c r="D22" s="201"/>
      <c r="E22" s="13"/>
      <c r="F22" s="12"/>
      <c r="G22" s="12"/>
      <c r="H22" s="14"/>
      <c r="I22" s="252"/>
      <c r="J22" s="219"/>
      <c r="K22" s="216"/>
      <c r="L22" s="255"/>
      <c r="M22" s="255"/>
      <c r="N22" s="265"/>
      <c r="O22" s="242"/>
      <c r="P22" s="237"/>
      <c r="Q22" s="213"/>
      <c r="R22" s="201"/>
      <c r="S22" s="235"/>
      <c r="T22" s="230"/>
      <c r="U22" s="227"/>
    </row>
    <row r="23" spans="1:21" s="42" customFormat="1" ht="5.0999999999999996" customHeight="1" x14ac:dyDescent="0.15">
      <c r="A23" s="202"/>
      <c r="B23" s="199"/>
      <c r="C23" s="208"/>
      <c r="D23" s="208"/>
      <c r="E23" s="13"/>
      <c r="F23" s="12"/>
      <c r="G23" s="12"/>
      <c r="H23" s="14"/>
      <c r="I23" s="250"/>
      <c r="J23" s="217"/>
      <c r="K23" s="214"/>
      <c r="L23" s="253"/>
      <c r="M23" s="254"/>
      <c r="N23" s="263"/>
      <c r="O23" s="240"/>
      <c r="P23" s="241"/>
      <c r="Q23" s="211"/>
      <c r="R23" s="199"/>
      <c r="S23" s="233"/>
      <c r="T23" s="228"/>
      <c r="U23" s="225"/>
    </row>
    <row r="24" spans="1:21" s="42" customFormat="1" ht="5.0999999999999996" customHeight="1" x14ac:dyDescent="0.15">
      <c r="A24" s="203"/>
      <c r="B24" s="200"/>
      <c r="C24" s="209"/>
      <c r="D24" s="209"/>
      <c r="E24" s="13"/>
      <c r="F24" s="12"/>
      <c r="G24" s="12"/>
      <c r="H24" s="14"/>
      <c r="I24" s="251"/>
      <c r="J24" s="218"/>
      <c r="K24" s="215"/>
      <c r="L24" s="254"/>
      <c r="M24" s="254"/>
      <c r="N24" s="264"/>
      <c r="O24" s="242"/>
      <c r="P24" s="243"/>
      <c r="Q24" s="212"/>
      <c r="R24" s="200"/>
      <c r="S24" s="234"/>
      <c r="T24" s="229"/>
      <c r="U24" s="226"/>
    </row>
    <row r="25" spans="1:21" s="42" customFormat="1" ht="5.0999999999999996" customHeight="1" x14ac:dyDescent="0.15">
      <c r="A25" s="203"/>
      <c r="B25" s="200"/>
      <c r="C25" s="209"/>
      <c r="D25" s="209"/>
      <c r="E25" s="13"/>
      <c r="F25" s="12"/>
      <c r="G25" s="12"/>
      <c r="H25" s="14"/>
      <c r="I25" s="251"/>
      <c r="J25" s="218"/>
      <c r="K25" s="215"/>
      <c r="L25" s="254"/>
      <c r="M25" s="254"/>
      <c r="N25" s="264"/>
      <c r="O25" s="244"/>
      <c r="P25" s="236"/>
      <c r="Q25" s="212"/>
      <c r="R25" s="200"/>
      <c r="S25" s="234"/>
      <c r="T25" s="229"/>
      <c r="U25" s="226"/>
    </row>
    <row r="26" spans="1:21" s="42" customFormat="1" ht="5.0999999999999996" customHeight="1" x14ac:dyDescent="0.15">
      <c r="A26" s="204"/>
      <c r="B26" s="201"/>
      <c r="C26" s="210"/>
      <c r="D26" s="210"/>
      <c r="E26" s="13"/>
      <c r="F26" s="12"/>
      <c r="G26" s="12"/>
      <c r="H26" s="14"/>
      <c r="I26" s="252"/>
      <c r="J26" s="219"/>
      <c r="K26" s="216"/>
      <c r="L26" s="255"/>
      <c r="M26" s="255"/>
      <c r="N26" s="265"/>
      <c r="O26" s="242"/>
      <c r="P26" s="237"/>
      <c r="Q26" s="213"/>
      <c r="R26" s="201"/>
      <c r="S26" s="235"/>
      <c r="T26" s="230"/>
      <c r="U26" s="227"/>
    </row>
    <row r="27" spans="1:21" s="42" customFormat="1" ht="5.0999999999999996" customHeight="1" x14ac:dyDescent="0.15">
      <c r="A27" s="202"/>
      <c r="B27" s="199"/>
      <c r="C27" s="208"/>
      <c r="D27" s="208"/>
      <c r="E27" s="13"/>
      <c r="F27" s="12"/>
      <c r="G27" s="12"/>
      <c r="H27" s="14"/>
      <c r="I27" s="250"/>
      <c r="J27" s="217"/>
      <c r="K27" s="214"/>
      <c r="L27" s="253"/>
      <c r="M27" s="254"/>
      <c r="N27" s="263"/>
      <c r="O27" s="240"/>
      <c r="P27" s="241"/>
      <c r="Q27" s="211"/>
      <c r="R27" s="199"/>
      <c r="S27" s="233"/>
      <c r="T27" s="228"/>
      <c r="U27" s="225"/>
    </row>
    <row r="28" spans="1:21" s="42" customFormat="1" ht="5.0999999999999996" customHeight="1" x14ac:dyDescent="0.15">
      <c r="A28" s="203"/>
      <c r="B28" s="200"/>
      <c r="C28" s="209"/>
      <c r="D28" s="209"/>
      <c r="E28" s="13"/>
      <c r="F28" s="12"/>
      <c r="G28" s="12"/>
      <c r="H28" s="14"/>
      <c r="I28" s="251"/>
      <c r="J28" s="218"/>
      <c r="K28" s="215"/>
      <c r="L28" s="254"/>
      <c r="M28" s="254"/>
      <c r="N28" s="264"/>
      <c r="O28" s="242"/>
      <c r="P28" s="243"/>
      <c r="Q28" s="212"/>
      <c r="R28" s="200"/>
      <c r="S28" s="234"/>
      <c r="T28" s="229"/>
      <c r="U28" s="226"/>
    </row>
    <row r="29" spans="1:21" s="42" customFormat="1" ht="5.0999999999999996" customHeight="1" x14ac:dyDescent="0.15">
      <c r="A29" s="203"/>
      <c r="B29" s="200"/>
      <c r="C29" s="209"/>
      <c r="D29" s="209"/>
      <c r="E29" s="13"/>
      <c r="F29" s="12"/>
      <c r="G29" s="12"/>
      <c r="H29" s="14"/>
      <c r="I29" s="251"/>
      <c r="J29" s="218"/>
      <c r="K29" s="215"/>
      <c r="L29" s="254"/>
      <c r="M29" s="254"/>
      <c r="N29" s="264"/>
      <c r="O29" s="244"/>
      <c r="P29" s="236"/>
      <c r="Q29" s="212"/>
      <c r="R29" s="200"/>
      <c r="S29" s="234"/>
      <c r="T29" s="229"/>
      <c r="U29" s="226"/>
    </row>
    <row r="30" spans="1:21" s="42" customFormat="1" ht="5.0999999999999996" customHeight="1" x14ac:dyDescent="0.15">
      <c r="A30" s="204"/>
      <c r="B30" s="201"/>
      <c r="C30" s="210"/>
      <c r="D30" s="210"/>
      <c r="E30" s="13"/>
      <c r="F30" s="12"/>
      <c r="G30" s="12"/>
      <c r="H30" s="14"/>
      <c r="I30" s="252"/>
      <c r="J30" s="219"/>
      <c r="K30" s="216"/>
      <c r="L30" s="255"/>
      <c r="M30" s="255"/>
      <c r="N30" s="265"/>
      <c r="O30" s="242"/>
      <c r="P30" s="237"/>
      <c r="Q30" s="213"/>
      <c r="R30" s="201"/>
      <c r="S30" s="235"/>
      <c r="T30" s="230"/>
      <c r="U30" s="227"/>
    </row>
    <row r="31" spans="1:21" s="42" customFormat="1" ht="5.0999999999999996" customHeight="1" x14ac:dyDescent="0.15">
      <c r="A31" s="202"/>
      <c r="B31" s="199"/>
      <c r="C31" s="208"/>
      <c r="D31" s="208"/>
      <c r="E31" s="13"/>
      <c r="F31" s="12"/>
      <c r="G31" s="12"/>
      <c r="H31" s="14"/>
      <c r="I31" s="250"/>
      <c r="J31" s="217"/>
      <c r="K31" s="214"/>
      <c r="L31" s="253"/>
      <c r="M31" s="254"/>
      <c r="N31" s="263"/>
      <c r="O31" s="240"/>
      <c r="P31" s="241"/>
      <c r="Q31" s="211"/>
      <c r="R31" s="199"/>
      <c r="S31" s="233"/>
      <c r="T31" s="228"/>
      <c r="U31" s="225"/>
    </row>
    <row r="32" spans="1:21" s="42" customFormat="1" ht="5.0999999999999996" customHeight="1" x14ac:dyDescent="0.15">
      <c r="A32" s="203"/>
      <c r="B32" s="200"/>
      <c r="C32" s="209"/>
      <c r="D32" s="209"/>
      <c r="E32" s="13"/>
      <c r="F32" s="12"/>
      <c r="G32" s="12"/>
      <c r="H32" s="14"/>
      <c r="I32" s="251"/>
      <c r="J32" s="218"/>
      <c r="K32" s="215"/>
      <c r="L32" s="254"/>
      <c r="M32" s="254"/>
      <c r="N32" s="264"/>
      <c r="O32" s="242"/>
      <c r="P32" s="243"/>
      <c r="Q32" s="212"/>
      <c r="R32" s="200"/>
      <c r="S32" s="234"/>
      <c r="T32" s="229"/>
      <c r="U32" s="226"/>
    </row>
    <row r="33" spans="1:21" s="42" customFormat="1" ht="5.0999999999999996" customHeight="1" x14ac:dyDescent="0.15">
      <c r="A33" s="203"/>
      <c r="B33" s="200"/>
      <c r="C33" s="209"/>
      <c r="D33" s="209"/>
      <c r="E33" s="13"/>
      <c r="F33" s="12"/>
      <c r="G33" s="12"/>
      <c r="H33" s="14"/>
      <c r="I33" s="251"/>
      <c r="J33" s="218"/>
      <c r="K33" s="215"/>
      <c r="L33" s="254"/>
      <c r="M33" s="254"/>
      <c r="N33" s="264"/>
      <c r="O33" s="244"/>
      <c r="P33" s="236"/>
      <c r="Q33" s="212"/>
      <c r="R33" s="200"/>
      <c r="S33" s="234"/>
      <c r="T33" s="229"/>
      <c r="U33" s="226"/>
    </row>
    <row r="34" spans="1:21" s="42" customFormat="1" ht="5.0999999999999996" customHeight="1" x14ac:dyDescent="0.15">
      <c r="A34" s="204"/>
      <c r="B34" s="201"/>
      <c r="C34" s="210"/>
      <c r="D34" s="210"/>
      <c r="E34" s="13"/>
      <c r="F34" s="12"/>
      <c r="G34" s="12"/>
      <c r="H34" s="14"/>
      <c r="I34" s="252"/>
      <c r="J34" s="219"/>
      <c r="K34" s="216"/>
      <c r="L34" s="255"/>
      <c r="M34" s="255"/>
      <c r="N34" s="265"/>
      <c r="O34" s="242"/>
      <c r="P34" s="237"/>
      <c r="Q34" s="213"/>
      <c r="R34" s="201"/>
      <c r="S34" s="235"/>
      <c r="T34" s="230"/>
      <c r="U34" s="227"/>
    </row>
    <row r="35" spans="1:21" s="42" customFormat="1" ht="5.0999999999999996" customHeight="1" x14ac:dyDescent="0.15">
      <c r="A35" s="202"/>
      <c r="B35" s="199"/>
      <c r="C35" s="208"/>
      <c r="D35" s="208"/>
      <c r="E35" s="13"/>
      <c r="F35" s="12"/>
      <c r="G35" s="12"/>
      <c r="H35" s="14"/>
      <c r="I35" s="253"/>
      <c r="J35" s="217"/>
      <c r="K35" s="214"/>
      <c r="L35" s="253"/>
      <c r="M35" s="254"/>
      <c r="N35" s="263"/>
      <c r="O35" s="240"/>
      <c r="P35" s="241"/>
      <c r="Q35" s="211"/>
      <c r="R35" s="199"/>
      <c r="S35" s="233"/>
      <c r="T35" s="228"/>
      <c r="U35" s="225"/>
    </row>
    <row r="36" spans="1:21" s="42" customFormat="1" ht="5.0999999999999996" customHeight="1" x14ac:dyDescent="0.15">
      <c r="A36" s="203"/>
      <c r="B36" s="200"/>
      <c r="C36" s="209"/>
      <c r="D36" s="209"/>
      <c r="E36" s="13"/>
      <c r="F36" s="12"/>
      <c r="G36" s="12"/>
      <c r="H36" s="14"/>
      <c r="I36" s="254"/>
      <c r="J36" s="218"/>
      <c r="K36" s="215"/>
      <c r="L36" s="254"/>
      <c r="M36" s="254"/>
      <c r="N36" s="264"/>
      <c r="O36" s="242"/>
      <c r="P36" s="243"/>
      <c r="Q36" s="212"/>
      <c r="R36" s="200"/>
      <c r="S36" s="234"/>
      <c r="T36" s="229"/>
      <c r="U36" s="226"/>
    </row>
    <row r="37" spans="1:21" s="42" customFormat="1" ht="5.0999999999999996" customHeight="1" x14ac:dyDescent="0.15">
      <c r="A37" s="203"/>
      <c r="B37" s="200"/>
      <c r="C37" s="209"/>
      <c r="D37" s="209"/>
      <c r="E37" s="13"/>
      <c r="F37" s="12"/>
      <c r="G37" s="12"/>
      <c r="H37" s="14"/>
      <c r="I37" s="254"/>
      <c r="J37" s="218"/>
      <c r="K37" s="215"/>
      <c r="L37" s="254"/>
      <c r="M37" s="254"/>
      <c r="N37" s="264"/>
      <c r="O37" s="244"/>
      <c r="P37" s="236"/>
      <c r="Q37" s="212"/>
      <c r="R37" s="200"/>
      <c r="S37" s="234"/>
      <c r="T37" s="229"/>
      <c r="U37" s="226"/>
    </row>
    <row r="38" spans="1:21" s="42" customFormat="1" ht="5.0999999999999996" customHeight="1" x14ac:dyDescent="0.15">
      <c r="A38" s="204"/>
      <c r="B38" s="201"/>
      <c r="C38" s="210"/>
      <c r="D38" s="210"/>
      <c r="E38" s="13"/>
      <c r="F38" s="12"/>
      <c r="G38" s="12"/>
      <c r="H38" s="14"/>
      <c r="I38" s="255"/>
      <c r="J38" s="219"/>
      <c r="K38" s="216"/>
      <c r="L38" s="255"/>
      <c r="M38" s="255"/>
      <c r="N38" s="265"/>
      <c r="O38" s="242"/>
      <c r="P38" s="237"/>
      <c r="Q38" s="213"/>
      <c r="R38" s="201"/>
      <c r="S38" s="235"/>
      <c r="T38" s="230"/>
      <c r="U38" s="227"/>
    </row>
    <row r="39" spans="1:21" s="42" customFormat="1" ht="5.0999999999999996" customHeight="1" x14ac:dyDescent="0.15">
      <c r="A39" s="202"/>
      <c r="B39" s="199"/>
      <c r="C39" s="208"/>
      <c r="D39" s="208"/>
      <c r="E39" s="13"/>
      <c r="F39" s="12"/>
      <c r="G39" s="12"/>
      <c r="H39" s="14"/>
      <c r="I39" s="250"/>
      <c r="J39" s="217"/>
      <c r="K39" s="214"/>
      <c r="L39" s="253"/>
      <c r="M39" s="254"/>
      <c r="N39" s="263"/>
      <c r="O39" s="240"/>
      <c r="P39" s="241"/>
      <c r="Q39" s="211"/>
      <c r="R39" s="199"/>
      <c r="S39" s="233"/>
      <c r="T39" s="228"/>
      <c r="U39" s="225"/>
    </row>
    <row r="40" spans="1:21" s="42" customFormat="1" ht="5.0999999999999996" customHeight="1" x14ac:dyDescent="0.15">
      <c r="A40" s="203"/>
      <c r="B40" s="200"/>
      <c r="C40" s="209"/>
      <c r="D40" s="209"/>
      <c r="E40" s="13"/>
      <c r="F40" s="12"/>
      <c r="G40" s="12"/>
      <c r="H40" s="14"/>
      <c r="I40" s="251"/>
      <c r="J40" s="218"/>
      <c r="K40" s="215"/>
      <c r="L40" s="254"/>
      <c r="M40" s="254"/>
      <c r="N40" s="264"/>
      <c r="O40" s="242"/>
      <c r="P40" s="243"/>
      <c r="Q40" s="212"/>
      <c r="R40" s="200"/>
      <c r="S40" s="234"/>
      <c r="T40" s="229"/>
      <c r="U40" s="226"/>
    </row>
    <row r="41" spans="1:21" s="42" customFormat="1" ht="5.0999999999999996" customHeight="1" x14ac:dyDescent="0.15">
      <c r="A41" s="203"/>
      <c r="B41" s="200"/>
      <c r="C41" s="209"/>
      <c r="D41" s="209"/>
      <c r="E41" s="13"/>
      <c r="F41" s="12"/>
      <c r="G41" s="12"/>
      <c r="H41" s="14"/>
      <c r="I41" s="251"/>
      <c r="J41" s="218"/>
      <c r="K41" s="215"/>
      <c r="L41" s="254"/>
      <c r="M41" s="254"/>
      <c r="N41" s="264"/>
      <c r="O41" s="244"/>
      <c r="P41" s="236"/>
      <c r="Q41" s="212"/>
      <c r="R41" s="200"/>
      <c r="S41" s="234"/>
      <c r="T41" s="229"/>
      <c r="U41" s="226"/>
    </row>
    <row r="42" spans="1:21" s="42" customFormat="1" ht="5.0999999999999996" customHeight="1" x14ac:dyDescent="0.15">
      <c r="A42" s="204"/>
      <c r="B42" s="201"/>
      <c r="C42" s="210"/>
      <c r="D42" s="210"/>
      <c r="E42" s="13"/>
      <c r="F42" s="12"/>
      <c r="G42" s="12"/>
      <c r="H42" s="14"/>
      <c r="I42" s="252"/>
      <c r="J42" s="219"/>
      <c r="K42" s="216"/>
      <c r="L42" s="255"/>
      <c r="M42" s="255"/>
      <c r="N42" s="265"/>
      <c r="O42" s="242"/>
      <c r="P42" s="237"/>
      <c r="Q42" s="213"/>
      <c r="R42" s="201"/>
      <c r="S42" s="235"/>
      <c r="T42" s="230"/>
      <c r="U42" s="227"/>
    </row>
    <row r="43" spans="1:21" s="42" customFormat="1" ht="5.0999999999999996" customHeight="1" x14ac:dyDescent="0.15">
      <c r="A43" s="202"/>
      <c r="B43" s="199"/>
      <c r="C43" s="208"/>
      <c r="D43" s="208"/>
      <c r="E43" s="13"/>
      <c r="F43" s="12"/>
      <c r="G43" s="12"/>
      <c r="H43" s="14"/>
      <c r="I43" s="250"/>
      <c r="J43" s="258"/>
      <c r="K43" s="214"/>
      <c r="L43" s="253"/>
      <c r="M43" s="254"/>
      <c r="N43" s="253"/>
      <c r="O43" s="240"/>
      <c r="P43" s="241"/>
      <c r="Q43" s="211"/>
      <c r="R43" s="199"/>
      <c r="S43" s="233"/>
      <c r="T43" s="228"/>
      <c r="U43" s="225"/>
    </row>
    <row r="44" spans="1:21" s="42" customFormat="1" ht="5.0999999999999996" customHeight="1" x14ac:dyDescent="0.15">
      <c r="A44" s="203"/>
      <c r="B44" s="200"/>
      <c r="C44" s="209"/>
      <c r="D44" s="209"/>
      <c r="E44" s="13"/>
      <c r="F44" s="12"/>
      <c r="G44" s="12"/>
      <c r="H44" s="14"/>
      <c r="I44" s="251"/>
      <c r="J44" s="259"/>
      <c r="K44" s="215"/>
      <c r="L44" s="254"/>
      <c r="M44" s="254"/>
      <c r="N44" s="261"/>
      <c r="O44" s="242"/>
      <c r="P44" s="243"/>
      <c r="Q44" s="212"/>
      <c r="R44" s="200"/>
      <c r="S44" s="234"/>
      <c r="T44" s="229"/>
      <c r="U44" s="226"/>
    </row>
    <row r="45" spans="1:21" s="42" customFormat="1" ht="5.0999999999999996" customHeight="1" x14ac:dyDescent="0.15">
      <c r="A45" s="203"/>
      <c r="B45" s="200"/>
      <c r="C45" s="209"/>
      <c r="D45" s="209"/>
      <c r="E45" s="13"/>
      <c r="F45" s="12"/>
      <c r="G45" s="12"/>
      <c r="H45" s="14"/>
      <c r="I45" s="251"/>
      <c r="J45" s="259"/>
      <c r="K45" s="215"/>
      <c r="L45" s="254"/>
      <c r="M45" s="254"/>
      <c r="N45" s="261"/>
      <c r="O45" s="244"/>
      <c r="P45" s="236"/>
      <c r="Q45" s="212"/>
      <c r="R45" s="200"/>
      <c r="S45" s="234"/>
      <c r="T45" s="229"/>
      <c r="U45" s="226"/>
    </row>
    <row r="46" spans="1:21" s="42" customFormat="1" ht="5.0999999999999996" customHeight="1" x14ac:dyDescent="0.15">
      <c r="A46" s="204"/>
      <c r="B46" s="201"/>
      <c r="C46" s="210"/>
      <c r="D46" s="210"/>
      <c r="E46" s="13"/>
      <c r="F46" s="12"/>
      <c r="G46" s="12"/>
      <c r="H46" s="14"/>
      <c r="I46" s="252"/>
      <c r="J46" s="260"/>
      <c r="K46" s="216"/>
      <c r="L46" s="255"/>
      <c r="M46" s="255"/>
      <c r="N46" s="262"/>
      <c r="O46" s="242"/>
      <c r="P46" s="237"/>
      <c r="Q46" s="213"/>
      <c r="R46" s="201"/>
      <c r="S46" s="235"/>
      <c r="T46" s="230"/>
      <c r="U46" s="227"/>
    </row>
    <row r="47" spans="1:21" s="42" customFormat="1" ht="5.0999999999999996" customHeight="1" x14ac:dyDescent="0.15">
      <c r="A47" s="202"/>
      <c r="B47" s="199"/>
      <c r="C47" s="199"/>
      <c r="D47" s="199"/>
      <c r="E47" s="13"/>
      <c r="F47" s="12"/>
      <c r="G47" s="12"/>
      <c r="H47" s="14"/>
      <c r="I47" s="253"/>
      <c r="J47" s="217"/>
      <c r="K47" s="214"/>
      <c r="L47" s="253"/>
      <c r="M47" s="254"/>
      <c r="N47" s="253"/>
      <c r="O47" s="240"/>
      <c r="P47" s="241"/>
      <c r="Q47" s="211"/>
      <c r="R47" s="199"/>
      <c r="S47" s="233"/>
      <c r="T47" s="228"/>
      <c r="U47" s="225"/>
    </row>
    <row r="48" spans="1:21" s="42" customFormat="1" ht="5.0999999999999996" customHeight="1" x14ac:dyDescent="0.15">
      <c r="A48" s="203"/>
      <c r="B48" s="200"/>
      <c r="C48" s="200"/>
      <c r="D48" s="200"/>
      <c r="E48" s="13"/>
      <c r="F48" s="12"/>
      <c r="G48" s="12"/>
      <c r="H48" s="14"/>
      <c r="I48" s="254"/>
      <c r="J48" s="218"/>
      <c r="K48" s="215"/>
      <c r="L48" s="254"/>
      <c r="M48" s="254"/>
      <c r="N48" s="261"/>
      <c r="O48" s="242"/>
      <c r="P48" s="243"/>
      <c r="Q48" s="212"/>
      <c r="R48" s="200"/>
      <c r="S48" s="234"/>
      <c r="T48" s="229"/>
      <c r="U48" s="226"/>
    </row>
    <row r="49" spans="1:21" s="42" customFormat="1" ht="5.0999999999999996" customHeight="1" x14ac:dyDescent="0.15">
      <c r="A49" s="203"/>
      <c r="B49" s="200"/>
      <c r="C49" s="200"/>
      <c r="D49" s="200"/>
      <c r="E49" s="13"/>
      <c r="F49" s="12"/>
      <c r="G49" s="12"/>
      <c r="H49" s="14"/>
      <c r="I49" s="254"/>
      <c r="J49" s="218"/>
      <c r="K49" s="215"/>
      <c r="L49" s="254"/>
      <c r="M49" s="254"/>
      <c r="N49" s="261"/>
      <c r="O49" s="244"/>
      <c r="P49" s="236"/>
      <c r="Q49" s="212"/>
      <c r="R49" s="200"/>
      <c r="S49" s="234"/>
      <c r="T49" s="229"/>
      <c r="U49" s="226"/>
    </row>
    <row r="50" spans="1:21" s="42" customFormat="1" ht="5.0999999999999996" customHeight="1" x14ac:dyDescent="0.15">
      <c r="A50" s="204"/>
      <c r="B50" s="201"/>
      <c r="C50" s="201"/>
      <c r="D50" s="201"/>
      <c r="E50" s="13"/>
      <c r="F50" s="12"/>
      <c r="G50" s="12"/>
      <c r="H50" s="14"/>
      <c r="I50" s="255"/>
      <c r="J50" s="219"/>
      <c r="K50" s="216"/>
      <c r="L50" s="255"/>
      <c r="M50" s="255"/>
      <c r="N50" s="262"/>
      <c r="O50" s="242"/>
      <c r="P50" s="237"/>
      <c r="Q50" s="213"/>
      <c r="R50" s="201"/>
      <c r="S50" s="235"/>
      <c r="T50" s="230"/>
      <c r="U50" s="227"/>
    </row>
    <row r="51" spans="1:21" s="42" customFormat="1" ht="5.0999999999999996" customHeight="1" x14ac:dyDescent="0.15">
      <c r="A51" s="202"/>
      <c r="B51" s="199"/>
      <c r="C51" s="199"/>
      <c r="D51" s="199"/>
      <c r="E51" s="13"/>
      <c r="F51" s="12"/>
      <c r="G51" s="12"/>
      <c r="H51" s="14"/>
      <c r="I51" s="253"/>
      <c r="J51" s="217"/>
      <c r="K51" s="214"/>
      <c r="L51" s="253"/>
      <c r="M51" s="254"/>
      <c r="N51" s="253"/>
      <c r="O51" s="240"/>
      <c r="P51" s="241"/>
      <c r="Q51" s="211"/>
      <c r="R51" s="199"/>
      <c r="S51" s="233"/>
      <c r="T51" s="228"/>
      <c r="U51" s="225"/>
    </row>
    <row r="52" spans="1:21" s="42" customFormat="1" ht="5.0999999999999996" customHeight="1" x14ac:dyDescent="0.15">
      <c r="A52" s="203"/>
      <c r="B52" s="200"/>
      <c r="C52" s="200"/>
      <c r="D52" s="200"/>
      <c r="E52" s="13"/>
      <c r="F52" s="12"/>
      <c r="G52" s="12"/>
      <c r="H52" s="14"/>
      <c r="I52" s="254"/>
      <c r="J52" s="218"/>
      <c r="K52" s="215"/>
      <c r="L52" s="254"/>
      <c r="M52" s="254"/>
      <c r="N52" s="261"/>
      <c r="O52" s="242"/>
      <c r="P52" s="243"/>
      <c r="Q52" s="212"/>
      <c r="R52" s="200"/>
      <c r="S52" s="234"/>
      <c r="T52" s="229"/>
      <c r="U52" s="226"/>
    </row>
    <row r="53" spans="1:21" s="42" customFormat="1" ht="5.0999999999999996" customHeight="1" x14ac:dyDescent="0.15">
      <c r="A53" s="203"/>
      <c r="B53" s="200"/>
      <c r="C53" s="200"/>
      <c r="D53" s="200"/>
      <c r="E53" s="13"/>
      <c r="F53" s="12"/>
      <c r="G53" s="12"/>
      <c r="H53" s="14"/>
      <c r="I53" s="254"/>
      <c r="J53" s="218"/>
      <c r="K53" s="215"/>
      <c r="L53" s="254"/>
      <c r="M53" s="254"/>
      <c r="N53" s="261"/>
      <c r="O53" s="244"/>
      <c r="P53" s="236"/>
      <c r="Q53" s="212"/>
      <c r="R53" s="200"/>
      <c r="S53" s="234"/>
      <c r="T53" s="229"/>
      <c r="U53" s="226"/>
    </row>
    <row r="54" spans="1:21" s="42" customFormat="1" ht="5.0999999999999996" customHeight="1" x14ac:dyDescent="0.15">
      <c r="A54" s="204"/>
      <c r="B54" s="201"/>
      <c r="C54" s="201"/>
      <c r="D54" s="201"/>
      <c r="E54" s="13"/>
      <c r="F54" s="12"/>
      <c r="G54" s="12"/>
      <c r="H54" s="14"/>
      <c r="I54" s="255"/>
      <c r="J54" s="219"/>
      <c r="K54" s="216"/>
      <c r="L54" s="255"/>
      <c r="M54" s="255"/>
      <c r="N54" s="262"/>
      <c r="O54" s="242"/>
      <c r="P54" s="237"/>
      <c r="Q54" s="213"/>
      <c r="R54" s="201"/>
      <c r="S54" s="235"/>
      <c r="T54" s="230"/>
      <c r="U54" s="227"/>
    </row>
    <row r="55" spans="1:21" s="42" customFormat="1" ht="5.0999999999999996" customHeight="1" x14ac:dyDescent="0.15">
      <c r="A55" s="202"/>
      <c r="B55" s="199"/>
      <c r="C55" s="199"/>
      <c r="D55" s="199"/>
      <c r="E55" s="13"/>
      <c r="F55" s="12"/>
      <c r="G55" s="12"/>
      <c r="H55" s="14"/>
      <c r="I55" s="253"/>
      <c r="J55" s="217"/>
      <c r="K55" s="214"/>
      <c r="L55" s="253"/>
      <c r="M55" s="254"/>
      <c r="N55" s="253"/>
      <c r="O55" s="240"/>
      <c r="P55" s="241"/>
      <c r="Q55" s="211"/>
      <c r="R55" s="199"/>
      <c r="S55" s="233"/>
      <c r="T55" s="228"/>
      <c r="U55" s="225"/>
    </row>
    <row r="56" spans="1:21" s="42" customFormat="1" ht="5.0999999999999996" customHeight="1" x14ac:dyDescent="0.15">
      <c r="A56" s="203"/>
      <c r="B56" s="200"/>
      <c r="C56" s="200"/>
      <c r="D56" s="200"/>
      <c r="E56" s="13"/>
      <c r="F56" s="12"/>
      <c r="G56" s="12"/>
      <c r="H56" s="14"/>
      <c r="I56" s="254"/>
      <c r="J56" s="218"/>
      <c r="K56" s="215"/>
      <c r="L56" s="254"/>
      <c r="M56" s="254"/>
      <c r="N56" s="261"/>
      <c r="O56" s="242"/>
      <c r="P56" s="243"/>
      <c r="Q56" s="212"/>
      <c r="R56" s="200"/>
      <c r="S56" s="234"/>
      <c r="T56" s="229"/>
      <c r="U56" s="226"/>
    </row>
    <row r="57" spans="1:21" s="42" customFormat="1" ht="5.0999999999999996" customHeight="1" x14ac:dyDescent="0.15">
      <c r="A57" s="203"/>
      <c r="B57" s="200"/>
      <c r="C57" s="200"/>
      <c r="D57" s="200"/>
      <c r="E57" s="13"/>
      <c r="F57" s="12"/>
      <c r="G57" s="12"/>
      <c r="H57" s="14"/>
      <c r="I57" s="254"/>
      <c r="J57" s="218"/>
      <c r="K57" s="215"/>
      <c r="L57" s="254"/>
      <c r="M57" s="254"/>
      <c r="N57" s="261"/>
      <c r="O57" s="244"/>
      <c r="P57" s="236"/>
      <c r="Q57" s="212"/>
      <c r="R57" s="200"/>
      <c r="S57" s="234"/>
      <c r="T57" s="229"/>
      <c r="U57" s="226"/>
    </row>
    <row r="58" spans="1:21" s="42" customFormat="1" ht="5.0999999999999996" customHeight="1" x14ac:dyDescent="0.15">
      <c r="A58" s="204"/>
      <c r="B58" s="201"/>
      <c r="C58" s="201"/>
      <c r="D58" s="201"/>
      <c r="E58" s="13"/>
      <c r="F58" s="12"/>
      <c r="G58" s="12"/>
      <c r="H58" s="14"/>
      <c r="I58" s="255"/>
      <c r="J58" s="219"/>
      <c r="K58" s="216"/>
      <c r="L58" s="255"/>
      <c r="M58" s="255"/>
      <c r="N58" s="262"/>
      <c r="O58" s="242"/>
      <c r="P58" s="237"/>
      <c r="Q58" s="213"/>
      <c r="R58" s="201"/>
      <c r="S58" s="235"/>
      <c r="T58" s="230"/>
      <c r="U58" s="227"/>
    </row>
    <row r="59" spans="1:21" s="42" customFormat="1" ht="5.0999999999999996" customHeight="1" x14ac:dyDescent="0.15">
      <c r="A59" s="202"/>
      <c r="B59" s="199"/>
      <c r="C59" s="199"/>
      <c r="D59" s="199"/>
      <c r="E59" s="13"/>
      <c r="F59" s="12"/>
      <c r="G59" s="12"/>
      <c r="H59" s="14"/>
      <c r="I59" s="253"/>
      <c r="J59" s="217"/>
      <c r="K59" s="214"/>
      <c r="L59" s="253"/>
      <c r="M59" s="254"/>
      <c r="N59" s="253"/>
      <c r="O59" s="240"/>
      <c r="P59" s="241"/>
      <c r="Q59" s="211"/>
      <c r="R59" s="199"/>
      <c r="S59" s="233"/>
      <c r="T59" s="228"/>
      <c r="U59" s="225"/>
    </row>
    <row r="60" spans="1:21" s="42" customFormat="1" ht="5.0999999999999996" customHeight="1" x14ac:dyDescent="0.15">
      <c r="A60" s="203"/>
      <c r="B60" s="200"/>
      <c r="C60" s="200"/>
      <c r="D60" s="200"/>
      <c r="E60" s="13"/>
      <c r="F60" s="12"/>
      <c r="G60" s="12"/>
      <c r="H60" s="14"/>
      <c r="I60" s="254"/>
      <c r="J60" s="218"/>
      <c r="K60" s="215"/>
      <c r="L60" s="254"/>
      <c r="M60" s="254"/>
      <c r="N60" s="261"/>
      <c r="O60" s="242"/>
      <c r="P60" s="243"/>
      <c r="Q60" s="212"/>
      <c r="R60" s="200"/>
      <c r="S60" s="234"/>
      <c r="T60" s="229"/>
      <c r="U60" s="226"/>
    </row>
    <row r="61" spans="1:21" s="42" customFormat="1" ht="5.0999999999999996" customHeight="1" x14ac:dyDescent="0.15">
      <c r="A61" s="203"/>
      <c r="B61" s="200"/>
      <c r="C61" s="200"/>
      <c r="D61" s="200"/>
      <c r="E61" s="13"/>
      <c r="F61" s="12"/>
      <c r="G61" s="12"/>
      <c r="H61" s="14"/>
      <c r="I61" s="254"/>
      <c r="J61" s="218"/>
      <c r="K61" s="215"/>
      <c r="L61" s="254"/>
      <c r="M61" s="254"/>
      <c r="N61" s="261"/>
      <c r="O61" s="244"/>
      <c r="P61" s="236"/>
      <c r="Q61" s="212"/>
      <c r="R61" s="200"/>
      <c r="S61" s="234"/>
      <c r="T61" s="229"/>
      <c r="U61" s="226"/>
    </row>
    <row r="62" spans="1:21" s="42" customFormat="1" ht="5.0999999999999996" customHeight="1" x14ac:dyDescent="0.15">
      <c r="A62" s="204"/>
      <c r="B62" s="201"/>
      <c r="C62" s="201"/>
      <c r="D62" s="201"/>
      <c r="E62" s="13"/>
      <c r="F62" s="12"/>
      <c r="G62" s="12"/>
      <c r="H62" s="14"/>
      <c r="I62" s="255"/>
      <c r="J62" s="219"/>
      <c r="K62" s="216"/>
      <c r="L62" s="255"/>
      <c r="M62" s="255"/>
      <c r="N62" s="262"/>
      <c r="O62" s="242"/>
      <c r="P62" s="237"/>
      <c r="Q62" s="213"/>
      <c r="R62" s="201"/>
      <c r="S62" s="235"/>
      <c r="T62" s="230"/>
      <c r="U62" s="227"/>
    </row>
    <row r="63" spans="1:21" s="42" customFormat="1" ht="5.0999999999999996" customHeight="1" x14ac:dyDescent="0.15">
      <c r="A63" s="202"/>
      <c r="B63" s="199"/>
      <c r="C63" s="199"/>
      <c r="D63" s="199"/>
      <c r="E63" s="13"/>
      <c r="F63" s="12"/>
      <c r="G63" s="12"/>
      <c r="H63" s="14"/>
      <c r="I63" s="253"/>
      <c r="J63" s="217"/>
      <c r="K63" s="214"/>
      <c r="L63" s="253"/>
      <c r="M63" s="254"/>
      <c r="N63" s="253"/>
      <c r="O63" s="240"/>
      <c r="P63" s="241"/>
      <c r="Q63" s="211"/>
      <c r="R63" s="199"/>
      <c r="S63" s="233"/>
      <c r="T63" s="228"/>
      <c r="U63" s="225"/>
    </row>
    <row r="64" spans="1:21" s="42" customFormat="1" ht="5.0999999999999996" customHeight="1" x14ac:dyDescent="0.15">
      <c r="A64" s="203"/>
      <c r="B64" s="200"/>
      <c r="C64" s="200"/>
      <c r="D64" s="200"/>
      <c r="E64" s="13"/>
      <c r="F64" s="12"/>
      <c r="G64" s="12"/>
      <c r="H64" s="14"/>
      <c r="I64" s="254"/>
      <c r="J64" s="218"/>
      <c r="K64" s="215"/>
      <c r="L64" s="254"/>
      <c r="M64" s="254"/>
      <c r="N64" s="261"/>
      <c r="O64" s="242"/>
      <c r="P64" s="243"/>
      <c r="Q64" s="212"/>
      <c r="R64" s="200"/>
      <c r="S64" s="234"/>
      <c r="T64" s="229"/>
      <c r="U64" s="226"/>
    </row>
    <row r="65" spans="1:21" s="42" customFormat="1" ht="5.0999999999999996" customHeight="1" x14ac:dyDescent="0.15">
      <c r="A65" s="203"/>
      <c r="B65" s="200"/>
      <c r="C65" s="200"/>
      <c r="D65" s="200"/>
      <c r="E65" s="13"/>
      <c r="F65" s="12"/>
      <c r="G65" s="12"/>
      <c r="H65" s="14"/>
      <c r="I65" s="254"/>
      <c r="J65" s="218"/>
      <c r="K65" s="215"/>
      <c r="L65" s="254"/>
      <c r="M65" s="254"/>
      <c r="N65" s="261"/>
      <c r="O65" s="244"/>
      <c r="P65" s="236"/>
      <c r="Q65" s="212"/>
      <c r="R65" s="200"/>
      <c r="S65" s="234"/>
      <c r="T65" s="229"/>
      <c r="U65" s="226"/>
    </row>
    <row r="66" spans="1:21" s="42" customFormat="1" ht="5.0999999999999996" customHeight="1" x14ac:dyDescent="0.15">
      <c r="A66" s="204"/>
      <c r="B66" s="201"/>
      <c r="C66" s="201"/>
      <c r="D66" s="201"/>
      <c r="E66" s="13"/>
      <c r="F66" s="12"/>
      <c r="G66" s="12"/>
      <c r="H66" s="14"/>
      <c r="I66" s="255"/>
      <c r="J66" s="219"/>
      <c r="K66" s="216"/>
      <c r="L66" s="255"/>
      <c r="M66" s="255"/>
      <c r="N66" s="262"/>
      <c r="O66" s="242"/>
      <c r="P66" s="237"/>
      <c r="Q66" s="213"/>
      <c r="R66" s="201"/>
      <c r="S66" s="235"/>
      <c r="T66" s="230"/>
      <c r="U66" s="227"/>
    </row>
    <row r="67" spans="1:21" s="42" customFormat="1" ht="5.0999999999999996" customHeight="1" x14ac:dyDescent="0.15">
      <c r="A67" s="202"/>
      <c r="B67" s="199"/>
      <c r="C67" s="199"/>
      <c r="D67" s="199"/>
      <c r="E67" s="13"/>
      <c r="F67" s="12"/>
      <c r="G67" s="12"/>
      <c r="H67" s="14"/>
      <c r="I67" s="253"/>
      <c r="J67" s="217"/>
      <c r="K67" s="214"/>
      <c r="L67" s="253"/>
      <c r="M67" s="254"/>
      <c r="N67" s="253"/>
      <c r="O67" s="240"/>
      <c r="P67" s="241"/>
      <c r="Q67" s="211"/>
      <c r="R67" s="199"/>
      <c r="S67" s="233"/>
      <c r="T67" s="228"/>
      <c r="U67" s="225"/>
    </row>
    <row r="68" spans="1:21" s="42" customFormat="1" ht="5.0999999999999996" customHeight="1" x14ac:dyDescent="0.15">
      <c r="A68" s="203"/>
      <c r="B68" s="200"/>
      <c r="C68" s="200"/>
      <c r="D68" s="200"/>
      <c r="E68" s="13"/>
      <c r="F68" s="12"/>
      <c r="G68" s="12"/>
      <c r="H68" s="14"/>
      <c r="I68" s="254"/>
      <c r="J68" s="218"/>
      <c r="K68" s="215"/>
      <c r="L68" s="254"/>
      <c r="M68" s="254"/>
      <c r="N68" s="261"/>
      <c r="O68" s="242"/>
      <c r="P68" s="243"/>
      <c r="Q68" s="212"/>
      <c r="R68" s="200"/>
      <c r="S68" s="234"/>
      <c r="T68" s="229"/>
      <c r="U68" s="226"/>
    </row>
    <row r="69" spans="1:21" s="42" customFormat="1" ht="5.0999999999999996" customHeight="1" x14ac:dyDescent="0.15">
      <c r="A69" s="203"/>
      <c r="B69" s="200"/>
      <c r="C69" s="200"/>
      <c r="D69" s="200"/>
      <c r="E69" s="13"/>
      <c r="F69" s="12"/>
      <c r="G69" s="12"/>
      <c r="H69" s="14"/>
      <c r="I69" s="254"/>
      <c r="J69" s="218"/>
      <c r="K69" s="215"/>
      <c r="L69" s="254"/>
      <c r="M69" s="254"/>
      <c r="N69" s="261"/>
      <c r="O69" s="244"/>
      <c r="P69" s="236"/>
      <c r="Q69" s="212"/>
      <c r="R69" s="200"/>
      <c r="S69" s="234"/>
      <c r="T69" s="229"/>
      <c r="U69" s="226"/>
    </row>
    <row r="70" spans="1:21" s="42" customFormat="1" ht="5.0999999999999996" customHeight="1" x14ac:dyDescent="0.15">
      <c r="A70" s="204"/>
      <c r="B70" s="201"/>
      <c r="C70" s="201"/>
      <c r="D70" s="201"/>
      <c r="E70" s="13"/>
      <c r="F70" s="12"/>
      <c r="G70" s="12"/>
      <c r="H70" s="14"/>
      <c r="I70" s="255"/>
      <c r="J70" s="219"/>
      <c r="K70" s="216"/>
      <c r="L70" s="255"/>
      <c r="M70" s="255"/>
      <c r="N70" s="262"/>
      <c r="O70" s="242"/>
      <c r="P70" s="237"/>
      <c r="Q70" s="213"/>
      <c r="R70" s="201"/>
      <c r="S70" s="235"/>
      <c r="T70" s="230"/>
      <c r="U70" s="227"/>
    </row>
    <row r="71" spans="1:21" s="42" customFormat="1" ht="5.0999999999999996" customHeight="1" x14ac:dyDescent="0.15">
      <c r="A71" s="202"/>
      <c r="B71" s="199"/>
      <c r="C71" s="199"/>
      <c r="D71" s="199"/>
      <c r="E71" s="13"/>
      <c r="F71" s="12"/>
      <c r="G71" s="12"/>
      <c r="H71" s="14"/>
      <c r="I71" s="253"/>
      <c r="J71" s="217"/>
      <c r="K71" s="214"/>
      <c r="L71" s="253"/>
      <c r="M71" s="254"/>
      <c r="N71" s="253"/>
      <c r="O71" s="240"/>
      <c r="P71" s="241"/>
      <c r="Q71" s="211"/>
      <c r="R71" s="199"/>
      <c r="S71" s="233"/>
      <c r="T71" s="228"/>
      <c r="U71" s="225"/>
    </row>
    <row r="72" spans="1:21" s="42" customFormat="1" ht="5.0999999999999996" customHeight="1" x14ac:dyDescent="0.15">
      <c r="A72" s="203"/>
      <c r="B72" s="200"/>
      <c r="C72" s="200"/>
      <c r="D72" s="200"/>
      <c r="E72" s="13"/>
      <c r="F72" s="12"/>
      <c r="G72" s="12"/>
      <c r="H72" s="14"/>
      <c r="I72" s="254"/>
      <c r="J72" s="218"/>
      <c r="K72" s="215"/>
      <c r="L72" s="254"/>
      <c r="M72" s="254"/>
      <c r="N72" s="261"/>
      <c r="O72" s="242"/>
      <c r="P72" s="243"/>
      <c r="Q72" s="212"/>
      <c r="R72" s="200"/>
      <c r="S72" s="234"/>
      <c r="T72" s="229"/>
      <c r="U72" s="226"/>
    </row>
    <row r="73" spans="1:21" s="42" customFormat="1" ht="5.0999999999999996" customHeight="1" x14ac:dyDescent="0.15">
      <c r="A73" s="203"/>
      <c r="B73" s="200"/>
      <c r="C73" s="200"/>
      <c r="D73" s="200"/>
      <c r="E73" s="13"/>
      <c r="F73" s="12"/>
      <c r="G73" s="12"/>
      <c r="H73" s="14"/>
      <c r="I73" s="254"/>
      <c r="J73" s="218"/>
      <c r="K73" s="215"/>
      <c r="L73" s="254"/>
      <c r="M73" s="254"/>
      <c r="N73" s="261"/>
      <c r="O73" s="244"/>
      <c r="P73" s="236"/>
      <c r="Q73" s="212"/>
      <c r="R73" s="200"/>
      <c r="S73" s="234"/>
      <c r="T73" s="229"/>
      <c r="U73" s="226"/>
    </row>
    <row r="74" spans="1:21" s="42" customFormat="1" ht="5.0999999999999996" customHeight="1" x14ac:dyDescent="0.15">
      <c r="A74" s="204"/>
      <c r="B74" s="201"/>
      <c r="C74" s="201"/>
      <c r="D74" s="201"/>
      <c r="E74" s="13"/>
      <c r="F74" s="12"/>
      <c r="G74" s="12"/>
      <c r="H74" s="14"/>
      <c r="I74" s="255"/>
      <c r="J74" s="219"/>
      <c r="K74" s="216"/>
      <c r="L74" s="255"/>
      <c r="M74" s="255"/>
      <c r="N74" s="262"/>
      <c r="O74" s="242"/>
      <c r="P74" s="237"/>
      <c r="Q74" s="213"/>
      <c r="R74" s="201"/>
      <c r="S74" s="235"/>
      <c r="T74" s="230"/>
      <c r="U74" s="227"/>
    </row>
    <row r="75" spans="1:21" s="42" customFormat="1" ht="5.0999999999999996" customHeight="1" x14ac:dyDescent="0.15">
      <c r="A75" s="202"/>
      <c r="B75" s="199"/>
      <c r="C75" s="199"/>
      <c r="D75" s="199"/>
      <c r="E75" s="13"/>
      <c r="F75" s="12"/>
      <c r="G75" s="12"/>
      <c r="H75" s="14"/>
      <c r="I75" s="253"/>
      <c r="J75" s="217"/>
      <c r="K75" s="214"/>
      <c r="L75" s="253"/>
      <c r="M75" s="254"/>
      <c r="N75" s="253"/>
      <c r="O75" s="240"/>
      <c r="P75" s="241"/>
      <c r="Q75" s="211"/>
      <c r="R75" s="199"/>
      <c r="S75" s="233"/>
      <c r="T75" s="228"/>
      <c r="U75" s="225"/>
    </row>
    <row r="76" spans="1:21" s="42" customFormat="1" ht="5.0999999999999996" customHeight="1" x14ac:dyDescent="0.15">
      <c r="A76" s="203"/>
      <c r="B76" s="200"/>
      <c r="C76" s="200"/>
      <c r="D76" s="200"/>
      <c r="E76" s="13"/>
      <c r="F76" s="12"/>
      <c r="G76" s="12"/>
      <c r="H76" s="14"/>
      <c r="I76" s="254"/>
      <c r="J76" s="218"/>
      <c r="K76" s="215"/>
      <c r="L76" s="254"/>
      <c r="M76" s="254"/>
      <c r="N76" s="261"/>
      <c r="O76" s="242"/>
      <c r="P76" s="243"/>
      <c r="Q76" s="212"/>
      <c r="R76" s="200"/>
      <c r="S76" s="234"/>
      <c r="T76" s="229"/>
      <c r="U76" s="226"/>
    </row>
    <row r="77" spans="1:21" s="42" customFormat="1" ht="5.0999999999999996" customHeight="1" x14ac:dyDescent="0.15">
      <c r="A77" s="203"/>
      <c r="B77" s="200"/>
      <c r="C77" s="200"/>
      <c r="D77" s="200"/>
      <c r="E77" s="13"/>
      <c r="F77" s="12"/>
      <c r="G77" s="12"/>
      <c r="H77" s="14"/>
      <c r="I77" s="254"/>
      <c r="J77" s="218"/>
      <c r="K77" s="215"/>
      <c r="L77" s="254"/>
      <c r="M77" s="254"/>
      <c r="N77" s="261"/>
      <c r="O77" s="244"/>
      <c r="P77" s="236"/>
      <c r="Q77" s="212"/>
      <c r="R77" s="200"/>
      <c r="S77" s="234"/>
      <c r="T77" s="229"/>
      <c r="U77" s="226"/>
    </row>
    <row r="78" spans="1:21" s="42" customFormat="1" ht="5.0999999999999996" customHeight="1" x14ac:dyDescent="0.15">
      <c r="A78" s="204"/>
      <c r="B78" s="201"/>
      <c r="C78" s="201"/>
      <c r="D78" s="201"/>
      <c r="E78" s="13"/>
      <c r="F78" s="12"/>
      <c r="G78" s="12"/>
      <c r="H78" s="14"/>
      <c r="I78" s="255"/>
      <c r="J78" s="219"/>
      <c r="K78" s="216"/>
      <c r="L78" s="255"/>
      <c r="M78" s="255"/>
      <c r="N78" s="262"/>
      <c r="O78" s="242"/>
      <c r="P78" s="237"/>
      <c r="Q78" s="213"/>
      <c r="R78" s="201"/>
      <c r="S78" s="235"/>
      <c r="T78" s="230"/>
      <c r="U78" s="227"/>
    </row>
    <row r="79" spans="1:21" s="42" customFormat="1" ht="5.0999999999999996" customHeight="1" x14ac:dyDescent="0.15">
      <c r="A79" s="202"/>
      <c r="B79" s="199"/>
      <c r="C79" s="199"/>
      <c r="D79" s="199"/>
      <c r="E79" s="13"/>
      <c r="F79" s="12"/>
      <c r="G79" s="12"/>
      <c r="H79" s="14"/>
      <c r="I79" s="253"/>
      <c r="J79" s="217"/>
      <c r="K79" s="214"/>
      <c r="L79" s="253"/>
      <c r="M79" s="254"/>
      <c r="N79" s="253"/>
      <c r="O79" s="240"/>
      <c r="P79" s="241"/>
      <c r="Q79" s="211"/>
      <c r="R79" s="199"/>
      <c r="S79" s="233"/>
      <c r="T79" s="228"/>
      <c r="U79" s="225"/>
    </row>
    <row r="80" spans="1:21" s="42" customFormat="1" ht="5.0999999999999996" customHeight="1" x14ac:dyDescent="0.15">
      <c r="A80" s="203"/>
      <c r="B80" s="200"/>
      <c r="C80" s="200"/>
      <c r="D80" s="200"/>
      <c r="E80" s="13"/>
      <c r="F80" s="12"/>
      <c r="G80" s="12"/>
      <c r="H80" s="14"/>
      <c r="I80" s="254"/>
      <c r="J80" s="218"/>
      <c r="K80" s="215"/>
      <c r="L80" s="254"/>
      <c r="M80" s="254"/>
      <c r="N80" s="261"/>
      <c r="O80" s="242"/>
      <c r="P80" s="243"/>
      <c r="Q80" s="212"/>
      <c r="R80" s="200"/>
      <c r="S80" s="234"/>
      <c r="T80" s="229"/>
      <c r="U80" s="226"/>
    </row>
    <row r="81" spans="1:21" s="42" customFormat="1" ht="5.0999999999999996" customHeight="1" x14ac:dyDescent="0.15">
      <c r="A81" s="203"/>
      <c r="B81" s="200"/>
      <c r="C81" s="200"/>
      <c r="D81" s="200"/>
      <c r="E81" s="13"/>
      <c r="F81" s="12"/>
      <c r="G81" s="12"/>
      <c r="H81" s="14"/>
      <c r="I81" s="254"/>
      <c r="J81" s="218"/>
      <c r="K81" s="215"/>
      <c r="L81" s="254"/>
      <c r="M81" s="254"/>
      <c r="N81" s="261"/>
      <c r="O81" s="244"/>
      <c r="P81" s="236"/>
      <c r="Q81" s="212"/>
      <c r="R81" s="200"/>
      <c r="S81" s="234"/>
      <c r="T81" s="229"/>
      <c r="U81" s="226"/>
    </row>
    <row r="82" spans="1:21" s="42" customFormat="1" ht="5.0999999999999996" customHeight="1" x14ac:dyDescent="0.15">
      <c r="A82" s="204"/>
      <c r="B82" s="201"/>
      <c r="C82" s="201"/>
      <c r="D82" s="201"/>
      <c r="E82" s="73"/>
      <c r="F82" s="74"/>
      <c r="G82" s="74"/>
      <c r="H82" s="75"/>
      <c r="I82" s="255"/>
      <c r="J82" s="219"/>
      <c r="K82" s="216"/>
      <c r="L82" s="255"/>
      <c r="M82" s="255"/>
      <c r="N82" s="262"/>
      <c r="O82" s="242"/>
      <c r="P82" s="237"/>
      <c r="Q82" s="213"/>
      <c r="R82" s="201"/>
      <c r="S82" s="235"/>
      <c r="T82" s="230"/>
      <c r="U82" s="227"/>
    </row>
    <row r="83" spans="1:21" s="27" customFormat="1" ht="13.5" customHeight="1" x14ac:dyDescent="0.15">
      <c r="A83" s="23" t="s">
        <v>55</v>
      </c>
      <c r="B83" s="43"/>
      <c r="C83" s="30"/>
      <c r="D83" s="25"/>
      <c r="E83" s="25"/>
      <c r="F83" s="25"/>
      <c r="G83" s="30"/>
      <c r="H83" s="25" t="s">
        <v>10</v>
      </c>
      <c r="I83" s="64" t="s">
        <v>46</v>
      </c>
      <c r="J83" s="26" t="s">
        <v>51</v>
      </c>
      <c r="K83" s="26"/>
      <c r="L83" s="44"/>
      <c r="M83" s="43" t="s">
        <v>66</v>
      </c>
      <c r="N83" s="44"/>
      <c r="O83" s="44"/>
      <c r="P83" s="58"/>
      <c r="Q83" s="44"/>
      <c r="R83" s="44"/>
      <c r="S83" s="44"/>
      <c r="T83" s="44"/>
      <c r="U83" s="70"/>
    </row>
    <row r="84" spans="1:21" s="27" customFormat="1" ht="13.5" customHeight="1" x14ac:dyDescent="0.15">
      <c r="A84" s="28"/>
      <c r="B84" s="29"/>
      <c r="D84" s="29"/>
      <c r="E84" s="29"/>
      <c r="F84" s="29"/>
      <c r="I84" s="65" t="s">
        <v>47</v>
      </c>
      <c r="J84" s="7" t="s">
        <v>40</v>
      </c>
      <c r="K84" s="7"/>
      <c r="L84" s="45"/>
      <c r="M84" s="45"/>
      <c r="N84" s="45"/>
      <c r="O84" s="45"/>
      <c r="P84" s="59"/>
      <c r="Q84" s="45"/>
      <c r="R84" s="45"/>
      <c r="S84" s="45"/>
      <c r="T84" s="45"/>
      <c r="U84" s="71"/>
    </row>
    <row r="85" spans="1:21" s="27" customFormat="1" ht="13.5" customHeight="1" x14ac:dyDescent="0.15">
      <c r="A85" s="28"/>
      <c r="B85" s="29"/>
      <c r="D85" s="29"/>
      <c r="E85" s="29"/>
      <c r="F85" s="29"/>
      <c r="I85" s="65" t="s">
        <v>48</v>
      </c>
      <c r="J85" s="7" t="s">
        <v>59</v>
      </c>
      <c r="K85" s="7"/>
      <c r="L85" s="45"/>
      <c r="M85" s="45"/>
      <c r="N85" s="45"/>
      <c r="O85" s="45"/>
      <c r="P85" s="59"/>
      <c r="Q85" s="45"/>
      <c r="R85" s="45"/>
      <c r="S85" s="45"/>
      <c r="T85" s="45"/>
      <c r="U85" s="71"/>
    </row>
    <row r="86" spans="1:21" s="7" customFormat="1" ht="13.5" customHeight="1" x14ac:dyDescent="0.15">
      <c r="A86" s="46"/>
      <c r="I86" s="66" t="s">
        <v>49</v>
      </c>
      <c r="J86" s="7" t="s">
        <v>52</v>
      </c>
      <c r="L86" s="9"/>
      <c r="M86" s="9"/>
      <c r="N86" s="9"/>
      <c r="O86" s="9"/>
      <c r="P86" s="60"/>
      <c r="U86" s="47"/>
    </row>
    <row r="87" spans="1:21" s="7" customFormat="1" ht="13.5" customHeight="1" thickBot="1" x14ac:dyDescent="0.2">
      <c r="A87" s="20"/>
      <c r="B87" s="10"/>
      <c r="C87" s="10"/>
      <c r="D87" s="10"/>
      <c r="E87" s="10"/>
      <c r="F87" s="10"/>
      <c r="G87" s="10"/>
      <c r="H87" s="10"/>
      <c r="I87" s="67" t="s">
        <v>50</v>
      </c>
      <c r="J87" s="10" t="s">
        <v>53</v>
      </c>
      <c r="K87" s="10"/>
      <c r="L87" s="21"/>
      <c r="M87" s="21"/>
      <c r="N87" s="21"/>
      <c r="O87" s="21"/>
      <c r="P87" s="61"/>
      <c r="Q87" s="10"/>
      <c r="R87" s="10"/>
      <c r="S87" s="10"/>
      <c r="T87" s="10"/>
      <c r="U87" s="22"/>
    </row>
    <row r="88" spans="1:21" s="48" customFormat="1" ht="14.25" customHeight="1" x14ac:dyDescent="0.15">
      <c r="I88" s="35"/>
      <c r="J88" s="35"/>
      <c r="P88" s="62"/>
      <c r="U88" s="35" t="s">
        <v>65</v>
      </c>
    </row>
  </sheetData>
  <mergeCells count="360">
    <mergeCell ref="N47:N50"/>
    <mergeCell ref="N51:N54"/>
    <mergeCell ref="N55:N58"/>
    <mergeCell ref="N59:N62"/>
    <mergeCell ref="N63:N66"/>
    <mergeCell ref="N67:N70"/>
    <mergeCell ref="N71:N74"/>
    <mergeCell ref="N75:N78"/>
    <mergeCell ref="N79:N82"/>
    <mergeCell ref="M59:M62"/>
    <mergeCell ref="M63:M66"/>
    <mergeCell ref="M67:M70"/>
    <mergeCell ref="M71:M74"/>
    <mergeCell ref="O4:S4"/>
    <mergeCell ref="O5:P5"/>
    <mergeCell ref="O6:P6"/>
    <mergeCell ref="O9:O10"/>
    <mergeCell ref="O47:P48"/>
    <mergeCell ref="O51:P52"/>
    <mergeCell ref="O55:P56"/>
    <mergeCell ref="O59:P60"/>
    <mergeCell ref="O63:P64"/>
    <mergeCell ref="S63:S66"/>
    <mergeCell ref="Q19:Q22"/>
    <mergeCell ref="O11:P12"/>
    <mergeCell ref="O19:P20"/>
    <mergeCell ref="O15:P16"/>
    <mergeCell ref="O23:P24"/>
    <mergeCell ref="O27:P28"/>
    <mergeCell ref="O31:P32"/>
    <mergeCell ref="O35:P36"/>
    <mergeCell ref="O39:P40"/>
    <mergeCell ref="O43:P44"/>
    <mergeCell ref="P13:P14"/>
    <mergeCell ref="P21:P22"/>
    <mergeCell ref="P29:P30"/>
    <mergeCell ref="P33:P34"/>
    <mergeCell ref="P37:P38"/>
    <mergeCell ref="P41:P42"/>
    <mergeCell ref="M4:M5"/>
    <mergeCell ref="M7:M10"/>
    <mergeCell ref="M11:M14"/>
    <mergeCell ref="M15:M18"/>
    <mergeCell ref="M19:M22"/>
    <mergeCell ref="M23:M26"/>
    <mergeCell ref="M27:M30"/>
    <mergeCell ref="M31:M34"/>
    <mergeCell ref="M35:M38"/>
    <mergeCell ref="M39:M42"/>
    <mergeCell ref="N4:N5"/>
    <mergeCell ref="N7:N10"/>
    <mergeCell ref="N11:N14"/>
    <mergeCell ref="N15:N18"/>
    <mergeCell ref="N19:N22"/>
    <mergeCell ref="N23:N26"/>
    <mergeCell ref="N27:N30"/>
    <mergeCell ref="N31:N34"/>
    <mergeCell ref="J55:J58"/>
    <mergeCell ref="B51:B54"/>
    <mergeCell ref="I55:I58"/>
    <mergeCell ref="K47:K50"/>
    <mergeCell ref="J47:J50"/>
    <mergeCell ref="K43:K46"/>
    <mergeCell ref="Q67:Q70"/>
    <mergeCell ref="O69:O70"/>
    <mergeCell ref="Q63:Q66"/>
    <mergeCell ref="O65:O66"/>
    <mergeCell ref="I59:I62"/>
    <mergeCell ref="K59:K62"/>
    <mergeCell ref="L59:L62"/>
    <mergeCell ref="O61:O62"/>
    <mergeCell ref="Q55:Q58"/>
    <mergeCell ref="B43:B46"/>
    <mergeCell ref="D47:D50"/>
    <mergeCell ref="I47:I50"/>
    <mergeCell ref="O45:O46"/>
    <mergeCell ref="O67:P68"/>
    <mergeCell ref="M43:M46"/>
    <mergeCell ref="M47:M50"/>
    <mergeCell ref="M51:M54"/>
    <mergeCell ref="M55:M58"/>
    <mergeCell ref="U63:U66"/>
    <mergeCell ref="T63:T66"/>
    <mergeCell ref="U67:U70"/>
    <mergeCell ref="T67:T70"/>
    <mergeCell ref="R63:R66"/>
    <mergeCell ref="P65:P66"/>
    <mergeCell ref="J67:J70"/>
    <mergeCell ref="I63:I66"/>
    <mergeCell ref="K71:K74"/>
    <mergeCell ref="L71:L74"/>
    <mergeCell ref="J71:J74"/>
    <mergeCell ref="U71:U74"/>
    <mergeCell ref="P73:P74"/>
    <mergeCell ref="O73:O74"/>
    <mergeCell ref="R71:R74"/>
    <mergeCell ref="Q71:Q74"/>
    <mergeCell ref="O71:P72"/>
    <mergeCell ref="T71:T74"/>
    <mergeCell ref="C63:C66"/>
    <mergeCell ref="A75:A78"/>
    <mergeCell ref="C75:C78"/>
    <mergeCell ref="I75:I78"/>
    <mergeCell ref="J75:J78"/>
    <mergeCell ref="K75:K78"/>
    <mergeCell ref="P77:P78"/>
    <mergeCell ref="B75:B78"/>
    <mergeCell ref="C67:C70"/>
    <mergeCell ref="J63:J66"/>
    <mergeCell ref="K63:K66"/>
    <mergeCell ref="D63:D66"/>
    <mergeCell ref="L63:L66"/>
    <mergeCell ref="A71:A74"/>
    <mergeCell ref="O75:P76"/>
    <mergeCell ref="A67:A70"/>
    <mergeCell ref="A63:A66"/>
    <mergeCell ref="B67:B70"/>
    <mergeCell ref="B71:B74"/>
    <mergeCell ref="C71:C74"/>
    <mergeCell ref="B63:B66"/>
    <mergeCell ref="M75:M78"/>
    <mergeCell ref="U79:U82"/>
    <mergeCell ref="L79:L82"/>
    <mergeCell ref="O81:O82"/>
    <mergeCell ref="U75:U78"/>
    <mergeCell ref="Q75:Q78"/>
    <mergeCell ref="P81:P82"/>
    <mergeCell ref="T79:T82"/>
    <mergeCell ref="Q79:Q82"/>
    <mergeCell ref="S79:S82"/>
    <mergeCell ref="T75:T78"/>
    <mergeCell ref="K79:K82"/>
    <mergeCell ref="L75:L78"/>
    <mergeCell ref="S75:S78"/>
    <mergeCell ref="O77:O78"/>
    <mergeCell ref="R75:R78"/>
    <mergeCell ref="R79:R82"/>
    <mergeCell ref="S71:S74"/>
    <mergeCell ref="S67:S70"/>
    <mergeCell ref="R67:R70"/>
    <mergeCell ref="K67:K70"/>
    <mergeCell ref="P69:P70"/>
    <mergeCell ref="L67:L70"/>
    <mergeCell ref="M79:M82"/>
    <mergeCell ref="O79:P80"/>
    <mergeCell ref="A79:A82"/>
    <mergeCell ref="C79:C82"/>
    <mergeCell ref="D79:D82"/>
    <mergeCell ref="B79:B82"/>
    <mergeCell ref="I79:I82"/>
    <mergeCell ref="J79:J82"/>
    <mergeCell ref="D67:D70"/>
    <mergeCell ref="S55:S58"/>
    <mergeCell ref="O57:O58"/>
    <mergeCell ref="P57:P58"/>
    <mergeCell ref="J59:J62"/>
    <mergeCell ref="K55:K58"/>
    <mergeCell ref="L55:L58"/>
    <mergeCell ref="I67:I70"/>
    <mergeCell ref="D75:D78"/>
    <mergeCell ref="D71:D74"/>
    <mergeCell ref="I71:I74"/>
    <mergeCell ref="D59:D62"/>
    <mergeCell ref="B55:B58"/>
    <mergeCell ref="D55:D58"/>
    <mergeCell ref="B59:B62"/>
    <mergeCell ref="A59:A62"/>
    <mergeCell ref="A55:A58"/>
    <mergeCell ref="C55:C58"/>
    <mergeCell ref="C59:C62"/>
    <mergeCell ref="U47:U50"/>
    <mergeCell ref="Q43:Q46"/>
    <mergeCell ref="S43:S46"/>
    <mergeCell ref="P53:P54"/>
    <mergeCell ref="U43:U46"/>
    <mergeCell ref="P49:P50"/>
    <mergeCell ref="T47:T50"/>
    <mergeCell ref="Q47:Q50"/>
    <mergeCell ref="S47:S50"/>
    <mergeCell ref="R47:R50"/>
    <mergeCell ref="U51:U54"/>
    <mergeCell ref="Q51:Q54"/>
    <mergeCell ref="S51:S54"/>
    <mergeCell ref="T51:T54"/>
    <mergeCell ref="T55:T58"/>
    <mergeCell ref="R55:R58"/>
    <mergeCell ref="R59:R62"/>
    <mergeCell ref="P61:P62"/>
    <mergeCell ref="U55:U58"/>
    <mergeCell ref="Q59:Q62"/>
    <mergeCell ref="S59:S62"/>
    <mergeCell ref="U59:U62"/>
    <mergeCell ref="T59:T62"/>
    <mergeCell ref="A31:A34"/>
    <mergeCell ref="S35:S38"/>
    <mergeCell ref="D35:D38"/>
    <mergeCell ref="B31:B34"/>
    <mergeCell ref="O37:O38"/>
    <mergeCell ref="A35:A38"/>
    <mergeCell ref="B35:B38"/>
    <mergeCell ref="B39:B42"/>
    <mergeCell ref="A51:A54"/>
    <mergeCell ref="C51:C54"/>
    <mergeCell ref="O49:O50"/>
    <mergeCell ref="O53:O54"/>
    <mergeCell ref="L47:L50"/>
    <mergeCell ref="Q35:Q38"/>
    <mergeCell ref="A47:A50"/>
    <mergeCell ref="C47:C50"/>
    <mergeCell ref="L51:L54"/>
    <mergeCell ref="D51:D54"/>
    <mergeCell ref="I51:I54"/>
    <mergeCell ref="J51:J54"/>
    <mergeCell ref="K51:K54"/>
    <mergeCell ref="B47:B50"/>
    <mergeCell ref="N35:N38"/>
    <mergeCell ref="N39:N42"/>
    <mergeCell ref="U39:U42"/>
    <mergeCell ref="A43:A46"/>
    <mergeCell ref="C43:C46"/>
    <mergeCell ref="D43:D46"/>
    <mergeCell ref="I43:I46"/>
    <mergeCell ref="J43:J46"/>
    <mergeCell ref="T43:T46"/>
    <mergeCell ref="P45:P46"/>
    <mergeCell ref="A39:A42"/>
    <mergeCell ref="C39:C42"/>
    <mergeCell ref="D39:D42"/>
    <mergeCell ref="I39:I42"/>
    <mergeCell ref="J39:J42"/>
    <mergeCell ref="K39:K42"/>
    <mergeCell ref="L39:L42"/>
    <mergeCell ref="L43:L46"/>
    <mergeCell ref="O41:O42"/>
    <mergeCell ref="T39:T42"/>
    <mergeCell ref="Q39:Q42"/>
    <mergeCell ref="S39:S42"/>
    <mergeCell ref="N43:N46"/>
    <mergeCell ref="T35:T38"/>
    <mergeCell ref="U35:U38"/>
    <mergeCell ref="C35:C38"/>
    <mergeCell ref="L35:L38"/>
    <mergeCell ref="I35:I38"/>
    <mergeCell ref="J35:J38"/>
    <mergeCell ref="K35:K38"/>
    <mergeCell ref="T31:T34"/>
    <mergeCell ref="L27:L30"/>
    <mergeCell ref="C31:C34"/>
    <mergeCell ref="J31:J34"/>
    <mergeCell ref="S31:S34"/>
    <mergeCell ref="U31:U34"/>
    <mergeCell ref="U27:U30"/>
    <mergeCell ref="J27:J30"/>
    <mergeCell ref="K27:K30"/>
    <mergeCell ref="I31:I34"/>
    <mergeCell ref="O33:O34"/>
    <mergeCell ref="L31:L34"/>
    <mergeCell ref="Q31:Q34"/>
    <mergeCell ref="K31:K34"/>
    <mergeCell ref="D31:D34"/>
    <mergeCell ref="A27:A30"/>
    <mergeCell ref="S23:S26"/>
    <mergeCell ref="T27:T30"/>
    <mergeCell ref="Q27:Q30"/>
    <mergeCell ref="P25:P26"/>
    <mergeCell ref="Q23:Q26"/>
    <mergeCell ref="S27:S30"/>
    <mergeCell ref="O25:O26"/>
    <mergeCell ref="O29:O30"/>
    <mergeCell ref="D27:D30"/>
    <mergeCell ref="I27:I30"/>
    <mergeCell ref="C27:C30"/>
    <mergeCell ref="J23:J26"/>
    <mergeCell ref="K23:K26"/>
    <mergeCell ref="L23:L26"/>
    <mergeCell ref="B27:B30"/>
    <mergeCell ref="T19:T22"/>
    <mergeCell ref="U23:U26"/>
    <mergeCell ref="U19:U22"/>
    <mergeCell ref="T23:T26"/>
    <mergeCell ref="A15:A18"/>
    <mergeCell ref="D23:D26"/>
    <mergeCell ref="B23:B26"/>
    <mergeCell ref="I23:I26"/>
    <mergeCell ref="B19:B22"/>
    <mergeCell ref="B15:B18"/>
    <mergeCell ref="A23:A26"/>
    <mergeCell ref="C23:C26"/>
    <mergeCell ref="I19:I22"/>
    <mergeCell ref="Q15:Q18"/>
    <mergeCell ref="J19:J22"/>
    <mergeCell ref="K19:K22"/>
    <mergeCell ref="L19:L22"/>
    <mergeCell ref="D15:D18"/>
    <mergeCell ref="A19:A22"/>
    <mergeCell ref="C19:C22"/>
    <mergeCell ref="T15:T18"/>
    <mergeCell ref="K15:K18"/>
    <mergeCell ref="L15:L18"/>
    <mergeCell ref="P17:P18"/>
    <mergeCell ref="D19:D22"/>
    <mergeCell ref="S19:S22"/>
    <mergeCell ref="I15:I18"/>
    <mergeCell ref="O21:O22"/>
    <mergeCell ref="O13:O14"/>
    <mergeCell ref="A4:A6"/>
    <mergeCell ref="B11:B14"/>
    <mergeCell ref="U15:U18"/>
    <mergeCell ref="U11:U14"/>
    <mergeCell ref="C15:C18"/>
    <mergeCell ref="S15:S18"/>
    <mergeCell ref="I11:I14"/>
    <mergeCell ref="O17:O18"/>
    <mergeCell ref="S11:S14"/>
    <mergeCell ref="R11:R14"/>
    <mergeCell ref="T11:T14"/>
    <mergeCell ref="J15:J18"/>
    <mergeCell ref="J7:J10"/>
    <mergeCell ref="K7:K10"/>
    <mergeCell ref="J4:J6"/>
    <mergeCell ref="I4:I5"/>
    <mergeCell ref="L7:L10"/>
    <mergeCell ref="L11:L14"/>
    <mergeCell ref="D4:D5"/>
    <mergeCell ref="L4:L5"/>
    <mergeCell ref="U7:U10"/>
    <mergeCell ref="T7:T10"/>
    <mergeCell ref="R5:R6"/>
    <mergeCell ref="R7:R10"/>
    <mergeCell ref="T4:T5"/>
    <mergeCell ref="S7:S10"/>
    <mergeCell ref="P9:P10"/>
    <mergeCell ref="U4:U5"/>
    <mergeCell ref="Q7:Q10"/>
    <mergeCell ref="Q5:Q6"/>
    <mergeCell ref="O7:P8"/>
    <mergeCell ref="B4:B6"/>
    <mergeCell ref="E4:H6"/>
    <mergeCell ref="B7:B10"/>
    <mergeCell ref="A7:A10"/>
    <mergeCell ref="C7:C10"/>
    <mergeCell ref="R51:R54"/>
    <mergeCell ref="R15:R18"/>
    <mergeCell ref="R19:R22"/>
    <mergeCell ref="R23:R26"/>
    <mergeCell ref="R27:R30"/>
    <mergeCell ref="R31:R34"/>
    <mergeCell ref="R35:R38"/>
    <mergeCell ref="R39:R42"/>
    <mergeCell ref="R43:R46"/>
    <mergeCell ref="D7:D10"/>
    <mergeCell ref="A11:A14"/>
    <mergeCell ref="C11:C14"/>
    <mergeCell ref="Q11:Q14"/>
    <mergeCell ref="K11:K14"/>
    <mergeCell ref="D11:D14"/>
    <mergeCell ref="J11:J14"/>
    <mergeCell ref="I7:I10"/>
    <mergeCell ref="C4:C5"/>
    <mergeCell ref="K4:K5"/>
  </mergeCells>
  <phoneticPr fontId="2"/>
  <pageMargins left="0.86614173228346458" right="0.47244094488188981" top="0.55118110236220474" bottom="0.5511811023622047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EC81-42D9-4A38-B943-FA9D5E19BAA7}">
  <dimension ref="A2:AM242"/>
  <sheetViews>
    <sheetView tabSelected="1" view="pageBreakPreview" topLeftCell="A20" zoomScale="85" zoomScaleNormal="115" zoomScaleSheetLayoutView="85" workbookViewId="0">
      <selection activeCell="L116" sqref="L116:L119"/>
    </sheetView>
  </sheetViews>
  <sheetFormatPr defaultRowHeight="11.25" outlineLevelCol="1" x14ac:dyDescent="0.15"/>
  <cols>
    <col min="1" max="1" width="10.25" style="7" customWidth="1"/>
    <col min="2" max="2" width="8.625" style="7" customWidth="1"/>
    <col min="3" max="4" width="6.625" style="7" customWidth="1"/>
    <col min="5" max="8" width="2.375" style="7" customWidth="1"/>
    <col min="9" max="9" width="6.625" style="7" customWidth="1"/>
    <col min="10" max="11" width="4.625" style="7" customWidth="1"/>
    <col min="12" max="12" width="12.625" style="7" customWidth="1"/>
    <col min="13" max="13" width="6.625" style="9" customWidth="1" outlineLevel="1"/>
    <col min="14" max="14" width="6.625" style="9" customWidth="1"/>
    <col min="15" max="16" width="6.625" style="7" customWidth="1"/>
    <col min="17" max="18" width="8.625" style="7" customWidth="1"/>
    <col min="19" max="19" width="6.625" style="7" customWidth="1"/>
    <col min="20" max="21" width="8.625" style="7" customWidth="1"/>
    <col min="22" max="22" width="6.625" style="7" customWidth="1"/>
    <col min="23" max="23" width="8.625" style="7" customWidth="1"/>
    <col min="24" max="24" width="9" style="7" customWidth="1"/>
    <col min="25" max="26" width="5.625" style="7" customWidth="1"/>
    <col min="27" max="27" width="8.75" style="7" customWidth="1"/>
    <col min="28" max="28" width="5.625" style="7" customWidth="1"/>
    <col min="29" max="29" width="6.125" style="7" bestFit="1" customWidth="1"/>
    <col min="30" max="30" width="6.625" style="7" customWidth="1"/>
    <col min="31" max="31" width="6.625" style="9" customWidth="1"/>
    <col min="32" max="32" width="9" style="7"/>
    <col min="33" max="33" width="6.625" style="7" customWidth="1"/>
    <col min="34" max="34" width="9" style="7"/>
    <col min="35" max="35" width="6.625" style="7" customWidth="1"/>
    <col min="36" max="36" width="8.625" style="7" customWidth="1"/>
    <col min="37" max="37" width="6.625" style="7" customWidth="1"/>
    <col min="38" max="16384" width="9" style="7"/>
  </cols>
  <sheetData>
    <row r="2" spans="1:33" x14ac:dyDescent="0.15">
      <c r="A2" s="7" t="s">
        <v>107</v>
      </c>
      <c r="B2" s="7" t="s">
        <v>61</v>
      </c>
      <c r="D2" s="7" t="s">
        <v>63</v>
      </c>
      <c r="I2" s="7" t="s">
        <v>108</v>
      </c>
      <c r="J2" s="7" t="s">
        <v>61</v>
      </c>
      <c r="L2" s="7" t="s">
        <v>63</v>
      </c>
      <c r="M2" s="7"/>
      <c r="N2" s="7"/>
    </row>
    <row r="3" spans="1:33" x14ac:dyDescent="0.15">
      <c r="A3" s="66" t="s">
        <v>109</v>
      </c>
      <c r="B3" s="7">
        <v>0.95</v>
      </c>
      <c r="C3" s="7" t="s">
        <v>27</v>
      </c>
      <c r="D3" s="7" t="s">
        <v>27</v>
      </c>
      <c r="I3" s="66" t="s">
        <v>109</v>
      </c>
      <c r="J3" s="7">
        <v>0.95</v>
      </c>
      <c r="K3" s="7" t="s">
        <v>27</v>
      </c>
      <c r="L3" s="7" t="s">
        <v>27</v>
      </c>
      <c r="M3" s="7"/>
      <c r="N3" s="7"/>
      <c r="AD3" s="7" t="s">
        <v>108</v>
      </c>
      <c r="AE3" s="7" t="s">
        <v>61</v>
      </c>
    </row>
    <row r="4" spans="1:33" x14ac:dyDescent="0.15">
      <c r="A4" s="7">
        <v>14</v>
      </c>
      <c r="B4" s="7">
        <v>1.66</v>
      </c>
      <c r="C4" s="7">
        <v>86</v>
      </c>
      <c r="D4" s="7">
        <v>73</v>
      </c>
      <c r="I4" s="7">
        <v>14</v>
      </c>
      <c r="J4" s="7">
        <v>1.66</v>
      </c>
      <c r="K4" s="7">
        <v>86</v>
      </c>
      <c r="L4" s="7">
        <v>73</v>
      </c>
      <c r="M4" s="7"/>
      <c r="N4" s="7"/>
      <c r="AD4" s="66" t="s">
        <v>109</v>
      </c>
      <c r="AE4" s="7">
        <v>0.95</v>
      </c>
      <c r="AF4" s="7">
        <v>0.8</v>
      </c>
      <c r="AG4" s="7" t="s">
        <v>27</v>
      </c>
    </row>
    <row r="5" spans="1:33" x14ac:dyDescent="0.15">
      <c r="A5" s="7">
        <v>22</v>
      </c>
      <c r="B5" s="7">
        <v>1.06</v>
      </c>
      <c r="C5" s="7">
        <v>110</v>
      </c>
      <c r="D5" s="7">
        <v>97</v>
      </c>
      <c r="I5" s="7">
        <v>22</v>
      </c>
      <c r="J5" s="7">
        <v>1.06</v>
      </c>
      <c r="K5" s="7">
        <v>110</v>
      </c>
      <c r="L5" s="7">
        <v>97</v>
      </c>
      <c r="M5" s="7"/>
      <c r="N5" s="7"/>
      <c r="AD5" s="7">
        <v>5.5</v>
      </c>
      <c r="AE5" s="9">
        <v>4.16</v>
      </c>
      <c r="AF5" s="7">
        <v>3.54</v>
      </c>
      <c r="AG5" s="7">
        <v>44</v>
      </c>
    </row>
    <row r="6" spans="1:33" x14ac:dyDescent="0.15">
      <c r="A6" s="7">
        <v>38</v>
      </c>
      <c r="B6" s="7">
        <v>0.624</v>
      </c>
      <c r="C6" s="7">
        <v>155</v>
      </c>
      <c r="D6" s="7">
        <v>135</v>
      </c>
      <c r="I6" s="7">
        <v>38</v>
      </c>
      <c r="J6" s="7">
        <v>0.63100000000000001</v>
      </c>
      <c r="K6" s="7">
        <v>155</v>
      </c>
      <c r="L6" s="7">
        <v>135</v>
      </c>
      <c r="M6" s="7"/>
      <c r="N6" s="7"/>
      <c r="AD6" s="7">
        <v>8</v>
      </c>
      <c r="AE6" s="9">
        <v>2.86</v>
      </c>
      <c r="AF6" s="7">
        <v>2.4500000000000002</v>
      </c>
      <c r="AG6" s="7">
        <v>54</v>
      </c>
    </row>
    <row r="7" spans="1:33" x14ac:dyDescent="0.15">
      <c r="A7" s="7">
        <v>60</v>
      </c>
      <c r="B7" s="7">
        <v>0.40600000000000003</v>
      </c>
      <c r="C7" s="7">
        <v>210</v>
      </c>
      <c r="D7" s="7">
        <v>180</v>
      </c>
      <c r="I7" s="7">
        <v>60</v>
      </c>
      <c r="J7" s="7">
        <v>0.41099999999999998</v>
      </c>
      <c r="K7" s="7">
        <v>210</v>
      </c>
      <c r="L7" s="7">
        <v>180</v>
      </c>
      <c r="M7" s="7"/>
      <c r="N7" s="7"/>
    </row>
    <row r="8" spans="1:33" x14ac:dyDescent="0.15">
      <c r="A8" s="7">
        <v>100</v>
      </c>
      <c r="B8" s="7">
        <v>0.255</v>
      </c>
      <c r="C8" s="7">
        <v>290</v>
      </c>
      <c r="D8" s="7">
        <v>265</v>
      </c>
      <c r="I8" s="7">
        <v>100</v>
      </c>
      <c r="J8" s="7">
        <v>0.26</v>
      </c>
      <c r="K8" s="7">
        <v>290</v>
      </c>
      <c r="L8" s="7">
        <v>265</v>
      </c>
      <c r="M8" s="7"/>
      <c r="N8" s="7"/>
    </row>
    <row r="9" spans="1:33" x14ac:dyDescent="0.15">
      <c r="A9" s="7">
        <v>150</v>
      </c>
      <c r="B9" s="7">
        <v>0.17699999999999999</v>
      </c>
      <c r="C9" s="7">
        <v>380</v>
      </c>
      <c r="D9" s="7">
        <v>345</v>
      </c>
      <c r="I9" s="7">
        <v>150</v>
      </c>
      <c r="J9" s="7">
        <v>0.184</v>
      </c>
      <c r="K9" s="7">
        <v>380</v>
      </c>
      <c r="L9" s="7">
        <v>345</v>
      </c>
      <c r="M9" s="7"/>
      <c r="N9" s="7"/>
    </row>
    <row r="10" spans="1:33" x14ac:dyDescent="0.15">
      <c r="A10" s="7">
        <v>200</v>
      </c>
      <c r="B10" s="7">
        <v>0.14199999999999999</v>
      </c>
      <c r="C10" s="7">
        <v>465</v>
      </c>
      <c r="D10" s="7">
        <v>395</v>
      </c>
      <c r="I10" s="7">
        <v>200</v>
      </c>
      <c r="J10" s="7">
        <v>0.14699999999999999</v>
      </c>
      <c r="K10" s="7">
        <v>465</v>
      </c>
      <c r="L10" s="7">
        <v>395</v>
      </c>
      <c r="M10" s="7"/>
      <c r="N10" s="7"/>
    </row>
    <row r="11" spans="1:33" x14ac:dyDescent="0.15">
      <c r="A11" s="7">
        <v>250</v>
      </c>
      <c r="B11" s="7">
        <v>0.11899999999999999</v>
      </c>
      <c r="C11" s="7">
        <v>535</v>
      </c>
      <c r="I11" s="7">
        <v>250</v>
      </c>
      <c r="J11" s="7">
        <v>0.125</v>
      </c>
      <c r="K11" s="7">
        <v>535</v>
      </c>
      <c r="M11" s="7"/>
      <c r="N11" s="7"/>
    </row>
    <row r="12" spans="1:33" x14ac:dyDescent="0.15">
      <c r="A12" s="7" t="s">
        <v>145</v>
      </c>
      <c r="B12" s="7">
        <f>0.177/2</f>
        <v>8.8499999999999995E-2</v>
      </c>
      <c r="C12" s="7">
        <f>380*2</f>
        <v>760</v>
      </c>
      <c r="I12" s="7" t="s">
        <v>145</v>
      </c>
      <c r="J12" s="7">
        <f>0.184/2</f>
        <v>9.1999999999999998E-2</v>
      </c>
      <c r="K12" s="7">
        <f>380*2</f>
        <v>760</v>
      </c>
      <c r="M12" s="7"/>
      <c r="N12" s="7"/>
    </row>
    <row r="13" spans="1:33" x14ac:dyDescent="0.15">
      <c r="A13" s="7" t="s">
        <v>146</v>
      </c>
      <c r="B13" s="7">
        <f>0.142/2</f>
        <v>7.0999999999999994E-2</v>
      </c>
      <c r="C13" s="7">
        <f>465*2</f>
        <v>930</v>
      </c>
      <c r="I13" s="7" t="s">
        <v>146</v>
      </c>
      <c r="J13" s="7">
        <f>0.147/2</f>
        <v>7.3499999999999996E-2</v>
      </c>
      <c r="K13" s="7">
        <f>465*2</f>
        <v>930</v>
      </c>
      <c r="M13" s="7"/>
      <c r="N13" s="7"/>
    </row>
    <row r="14" spans="1:33" x14ac:dyDescent="0.15">
      <c r="A14" s="7" t="s">
        <v>147</v>
      </c>
      <c r="B14" s="7">
        <f>0.119/2</f>
        <v>5.9499999999999997E-2</v>
      </c>
      <c r="C14" s="7">
        <f>535*2</f>
        <v>1070</v>
      </c>
      <c r="I14" s="7" t="s">
        <v>147</v>
      </c>
      <c r="J14" s="7">
        <f>0.125/2</f>
        <v>6.25E-2</v>
      </c>
      <c r="K14" s="7">
        <f>535*2</f>
        <v>1070</v>
      </c>
      <c r="M14" s="7"/>
      <c r="N14" s="7"/>
    </row>
    <row r="15" spans="1:33" x14ac:dyDescent="0.15">
      <c r="A15" s="66" t="s">
        <v>109</v>
      </c>
      <c r="B15" s="7">
        <v>0.8</v>
      </c>
      <c r="I15" s="66" t="s">
        <v>109</v>
      </c>
      <c r="J15" s="7" t="s">
        <v>62</v>
      </c>
      <c r="M15" s="7"/>
      <c r="N15" s="7"/>
    </row>
    <row r="16" spans="1:33" x14ac:dyDescent="0.15">
      <c r="A16" s="7">
        <v>14</v>
      </c>
      <c r="B16" s="7">
        <v>1.43</v>
      </c>
      <c r="I16" s="7">
        <v>14</v>
      </c>
      <c r="J16" s="7">
        <v>1.44</v>
      </c>
      <c r="M16" s="7"/>
      <c r="N16" s="7"/>
    </row>
    <row r="17" spans="1:39" x14ac:dyDescent="0.15">
      <c r="A17" s="7">
        <v>22</v>
      </c>
      <c r="B17" s="7">
        <v>0.92600000000000005</v>
      </c>
      <c r="I17" s="7">
        <v>22</v>
      </c>
      <c r="J17" s="7">
        <v>0.93799999999999994</v>
      </c>
      <c r="M17" s="7"/>
      <c r="N17" s="7"/>
    </row>
    <row r="18" spans="1:39" x14ac:dyDescent="0.15">
      <c r="A18" s="7">
        <v>38</v>
      </c>
      <c r="B18" s="7">
        <v>0.55800000000000005</v>
      </c>
      <c r="I18" s="7">
        <v>38</v>
      </c>
      <c r="J18" s="7">
        <v>0.56999999999999995</v>
      </c>
      <c r="M18" s="7"/>
      <c r="N18" s="7"/>
    </row>
    <row r="19" spans="1:39" x14ac:dyDescent="0.15">
      <c r="A19" s="7">
        <v>60</v>
      </c>
      <c r="B19" s="7">
        <v>0.372</v>
      </c>
      <c r="I19" s="7">
        <v>60</v>
      </c>
      <c r="J19" s="7">
        <v>0.38400000000000001</v>
      </c>
      <c r="M19" s="7"/>
      <c r="N19" s="7"/>
    </row>
    <row r="20" spans="1:39" x14ac:dyDescent="0.15">
      <c r="A20" s="7">
        <v>100</v>
      </c>
      <c r="B20" s="7">
        <v>0.24399999999999999</v>
      </c>
      <c r="I20" s="7">
        <v>100</v>
      </c>
      <c r="J20" s="7">
        <v>0.255</v>
      </c>
      <c r="M20" s="7"/>
      <c r="N20" s="7"/>
    </row>
    <row r="21" spans="1:39" x14ac:dyDescent="0.15">
      <c r="A21" s="7">
        <v>150</v>
      </c>
      <c r="B21" s="7">
        <v>0.17799999999999999</v>
      </c>
      <c r="I21" s="7">
        <v>150</v>
      </c>
      <c r="J21" s="7">
        <v>0.189</v>
      </c>
      <c r="M21" s="7"/>
      <c r="N21" s="7"/>
    </row>
    <row r="22" spans="1:39" x14ac:dyDescent="0.15">
      <c r="A22" s="7">
        <v>200</v>
      </c>
      <c r="B22" s="7">
        <v>0.14799999999999999</v>
      </c>
      <c r="I22" s="7">
        <v>200</v>
      </c>
      <c r="J22" s="7">
        <v>0.159</v>
      </c>
      <c r="M22" s="7"/>
      <c r="N22" s="7"/>
    </row>
    <row r="23" spans="1:39" x14ac:dyDescent="0.15">
      <c r="A23" s="7">
        <v>250</v>
      </c>
      <c r="B23" s="7">
        <v>0.129</v>
      </c>
      <c r="I23" s="7">
        <v>250</v>
      </c>
      <c r="J23" s="7">
        <v>0.13900000000000001</v>
      </c>
      <c r="M23" s="7"/>
      <c r="N23" s="7"/>
    </row>
    <row r="24" spans="1:39" x14ac:dyDescent="0.15">
      <c r="A24" s="7" t="s">
        <v>145</v>
      </c>
      <c r="B24" s="7">
        <f>0.178/2</f>
        <v>8.8999999999999996E-2</v>
      </c>
      <c r="I24" s="7" t="s">
        <v>145</v>
      </c>
      <c r="J24" s="7">
        <f>0.189/2</f>
        <v>9.4500000000000001E-2</v>
      </c>
      <c r="M24" s="7"/>
      <c r="N24" s="7"/>
    </row>
    <row r="25" spans="1:39" x14ac:dyDescent="0.15">
      <c r="A25" s="7" t="s">
        <v>146</v>
      </c>
      <c r="B25" s="7">
        <f>0.148/2</f>
        <v>7.3999999999999996E-2</v>
      </c>
      <c r="I25" s="7" t="s">
        <v>146</v>
      </c>
      <c r="J25" s="7">
        <f>0.159/2</f>
        <v>7.9500000000000001E-2</v>
      </c>
      <c r="M25" s="7"/>
      <c r="N25" s="7"/>
    </row>
    <row r="26" spans="1:39" x14ac:dyDescent="0.15">
      <c r="A26" s="7" t="s">
        <v>147</v>
      </c>
      <c r="B26" s="7">
        <f>0.129/2</f>
        <v>6.4500000000000002E-2</v>
      </c>
      <c r="I26" s="7" t="s">
        <v>147</v>
      </c>
      <c r="J26" s="7">
        <f>0.139/2</f>
        <v>6.9500000000000006E-2</v>
      </c>
      <c r="M26" s="7"/>
      <c r="N26" s="7"/>
    </row>
    <row r="29" spans="1:39" s="36" customFormat="1" ht="12" thickBot="1" x14ac:dyDescent="0.2">
      <c r="N29" s="37"/>
      <c r="U29" s="37"/>
      <c r="Y29" s="38" t="s">
        <v>23</v>
      </c>
      <c r="AB29" s="7"/>
      <c r="AC29" s="7"/>
      <c r="AD29" s="7"/>
      <c r="AG29" s="37"/>
    </row>
    <row r="30" spans="1:39" ht="30" customHeight="1" x14ac:dyDescent="0.15">
      <c r="A30" s="11" t="s">
        <v>22</v>
      </c>
      <c r="B30" s="2"/>
      <c r="C30" s="2"/>
      <c r="D30" s="1"/>
      <c r="E30" s="4" t="s">
        <v>112</v>
      </c>
      <c r="F30" s="2"/>
      <c r="G30" s="3"/>
      <c r="H30" s="2"/>
      <c r="I30" s="2"/>
      <c r="J30" s="2"/>
      <c r="K30" s="2"/>
      <c r="L30" s="2"/>
      <c r="M30" s="2"/>
      <c r="N30" s="19"/>
      <c r="O30" s="5"/>
      <c r="P30" s="5"/>
      <c r="Q30" s="5"/>
      <c r="R30" s="5"/>
      <c r="S30" s="5"/>
      <c r="T30" s="5"/>
      <c r="U30" s="19"/>
      <c r="V30" s="5"/>
      <c r="W30" s="5"/>
      <c r="X30" s="5"/>
      <c r="Y30" s="2"/>
      <c r="Z30" s="281">
        <v>45658</v>
      </c>
      <c r="AA30" s="282"/>
      <c r="AE30" s="7"/>
      <c r="AF30" s="80"/>
      <c r="AG30" s="9"/>
      <c r="AK30" s="82"/>
      <c r="AL30" s="82"/>
      <c r="AM30" s="82"/>
    </row>
    <row r="31" spans="1:39" s="18" customFormat="1" ht="17.25" customHeight="1" x14ac:dyDescent="0.15">
      <c r="A31" s="108" t="s">
        <v>121</v>
      </c>
      <c r="B31" s="109">
        <v>60</v>
      </c>
      <c r="C31" s="107"/>
      <c r="D31" s="106"/>
      <c r="E31" s="105"/>
      <c r="F31" s="106"/>
      <c r="G31" s="107"/>
      <c r="H31" s="107"/>
      <c r="I31" s="107"/>
      <c r="J31" s="107"/>
      <c r="K31" s="107"/>
      <c r="L31" s="107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7"/>
      <c r="X31" s="15"/>
      <c r="Z31" s="188"/>
      <c r="AA31" s="190"/>
      <c r="AB31" s="7"/>
      <c r="AC31" s="7"/>
      <c r="AD31" s="7"/>
      <c r="AF31" s="81"/>
    </row>
    <row r="32" spans="1:39" s="8" customFormat="1" ht="25.5" customHeight="1" x14ac:dyDescent="0.15">
      <c r="A32" s="313" t="s">
        <v>122</v>
      </c>
      <c r="B32" s="314"/>
      <c r="C32" s="314"/>
      <c r="D32" s="314"/>
      <c r="E32" s="315" t="s">
        <v>124</v>
      </c>
      <c r="F32" s="316"/>
      <c r="G32" s="316"/>
      <c r="H32" s="316"/>
      <c r="I32" s="316"/>
      <c r="J32" s="316"/>
      <c r="K32" s="316"/>
      <c r="L32" s="314" t="s">
        <v>125</v>
      </c>
      <c r="M32" s="314"/>
      <c r="N32" s="314"/>
      <c r="O32" s="314"/>
      <c r="P32" s="315" t="s">
        <v>119</v>
      </c>
      <c r="Q32" s="316"/>
      <c r="R32" s="316"/>
      <c r="S32" s="316"/>
      <c r="T32" s="316"/>
      <c r="U32" s="317"/>
      <c r="V32" s="314" t="s">
        <v>41</v>
      </c>
      <c r="W32" s="314"/>
      <c r="X32" s="314"/>
      <c r="Y32" s="314"/>
      <c r="Z32" s="315"/>
      <c r="AA32" s="191"/>
      <c r="AB32" s="7"/>
      <c r="AC32" s="7"/>
      <c r="AD32" s="7"/>
    </row>
    <row r="33" spans="1:35" s="8" customFormat="1" ht="15" customHeight="1" x14ac:dyDescent="0.15">
      <c r="A33" s="248" t="s">
        <v>39</v>
      </c>
      <c r="B33" s="194" t="s">
        <v>8</v>
      </c>
      <c r="C33" s="194" t="s">
        <v>0</v>
      </c>
      <c r="D33" s="194" t="s">
        <v>9</v>
      </c>
      <c r="E33" s="318" t="s">
        <v>1</v>
      </c>
      <c r="F33" s="197"/>
      <c r="G33" s="197"/>
      <c r="H33" s="319"/>
      <c r="I33" s="318" t="s">
        <v>2</v>
      </c>
      <c r="J33" s="315" t="s">
        <v>115</v>
      </c>
      <c r="K33" s="316"/>
      <c r="L33" s="194" t="s">
        <v>33</v>
      </c>
      <c r="M33" s="194" t="s">
        <v>102</v>
      </c>
      <c r="N33" s="328" t="s">
        <v>28</v>
      </c>
      <c r="O33" s="339" t="s">
        <v>117</v>
      </c>
      <c r="P33" s="334" t="s">
        <v>120</v>
      </c>
      <c r="Q33" s="335"/>
      <c r="R33" s="193" t="s">
        <v>35</v>
      </c>
      <c r="S33" s="193" t="s">
        <v>73</v>
      </c>
      <c r="T33" s="338" t="s">
        <v>114</v>
      </c>
      <c r="U33" s="338"/>
      <c r="V33" s="339" t="s">
        <v>57</v>
      </c>
      <c r="W33" s="194" t="s">
        <v>32</v>
      </c>
      <c r="X33" s="328" t="s">
        <v>126</v>
      </c>
      <c r="Y33" s="194" t="s">
        <v>46</v>
      </c>
      <c r="Z33" s="329" t="s">
        <v>6</v>
      </c>
      <c r="AA33" s="340" t="s">
        <v>144</v>
      </c>
      <c r="AB33" s="7"/>
      <c r="AC33" s="7"/>
      <c r="AD33" s="7"/>
      <c r="AG33" s="91"/>
    </row>
    <row r="34" spans="1:35" s="8" customFormat="1" ht="38.25" customHeight="1" x14ac:dyDescent="0.15">
      <c r="A34" s="248"/>
      <c r="B34" s="194"/>
      <c r="C34" s="194"/>
      <c r="D34" s="194"/>
      <c r="E34" s="318"/>
      <c r="F34" s="197"/>
      <c r="G34" s="197"/>
      <c r="H34" s="319"/>
      <c r="I34" s="194"/>
      <c r="J34" s="330" t="s">
        <v>123</v>
      </c>
      <c r="K34" s="331"/>
      <c r="L34" s="194"/>
      <c r="M34" s="194"/>
      <c r="N34" s="328"/>
      <c r="O34" s="339"/>
      <c r="P34" s="336"/>
      <c r="Q34" s="337"/>
      <c r="R34" s="194"/>
      <c r="S34" s="194"/>
      <c r="T34" s="129" t="s">
        <v>118</v>
      </c>
      <c r="U34" s="129" t="s">
        <v>119</v>
      </c>
      <c r="V34" s="339"/>
      <c r="W34" s="194"/>
      <c r="X34" s="328"/>
      <c r="Y34" s="194"/>
      <c r="Z34" s="329"/>
      <c r="AA34" s="340"/>
      <c r="AB34" s="7"/>
      <c r="AC34" s="7" t="s">
        <v>128</v>
      </c>
      <c r="AD34" s="7"/>
      <c r="AF34" s="8" t="s">
        <v>99</v>
      </c>
      <c r="AG34" s="8" t="s">
        <v>100</v>
      </c>
      <c r="AH34" s="8" t="s">
        <v>101</v>
      </c>
      <c r="AI34" s="8" t="s">
        <v>103</v>
      </c>
    </row>
    <row r="35" spans="1:35" s="8" customFormat="1" ht="15" customHeight="1" x14ac:dyDescent="0.15">
      <c r="A35" s="102"/>
      <c r="B35" s="103"/>
      <c r="C35" s="127" t="s">
        <v>4</v>
      </c>
      <c r="D35" s="128" t="s">
        <v>7</v>
      </c>
      <c r="E35" s="104"/>
      <c r="F35" s="104"/>
      <c r="G35" s="104"/>
      <c r="H35" s="104"/>
      <c r="I35" s="31" t="s">
        <v>37</v>
      </c>
      <c r="J35" s="332" t="s">
        <v>116</v>
      </c>
      <c r="K35" s="333"/>
      <c r="L35" s="103"/>
      <c r="M35" s="103"/>
      <c r="N35" s="32" t="s">
        <v>7</v>
      </c>
      <c r="O35" s="33" t="s">
        <v>11</v>
      </c>
      <c r="P35" s="273" t="s">
        <v>13</v>
      </c>
      <c r="Q35" s="274"/>
      <c r="R35" s="195"/>
      <c r="S35" s="32" t="s">
        <v>30</v>
      </c>
      <c r="T35" s="101"/>
      <c r="U35" s="32" t="s">
        <v>30</v>
      </c>
      <c r="V35" s="33" t="s">
        <v>56</v>
      </c>
      <c r="W35" s="32" t="s">
        <v>5</v>
      </c>
      <c r="X35" s="130" t="s">
        <v>12</v>
      </c>
      <c r="Y35" s="31" t="s">
        <v>4</v>
      </c>
      <c r="Z35" s="189" t="s">
        <v>4</v>
      </c>
      <c r="AA35" s="110"/>
      <c r="AB35" s="7"/>
      <c r="AC35" s="7" t="s">
        <v>74</v>
      </c>
      <c r="AD35" s="7"/>
    </row>
    <row r="36" spans="1:35" s="12" customFormat="1" ht="5.0999999999999996" customHeight="1" x14ac:dyDescent="0.15">
      <c r="A36" s="320" t="s">
        <v>129</v>
      </c>
      <c r="B36" s="199"/>
      <c r="C36" s="199"/>
      <c r="D36" s="253"/>
      <c r="E36" s="133"/>
      <c r="F36" s="72"/>
      <c r="G36" s="72"/>
      <c r="H36" s="134"/>
      <c r="I36" s="321"/>
      <c r="J36" s="286"/>
      <c r="K36" s="288"/>
      <c r="L36" s="253"/>
      <c r="M36" s="253"/>
      <c r="N36" s="199"/>
      <c r="O36" s="290"/>
      <c r="P36" s="240"/>
      <c r="Q36" s="131"/>
      <c r="R36" s="199"/>
      <c r="S36" s="293"/>
      <c r="T36" s="199"/>
      <c r="U36" s="124"/>
      <c r="V36" s="199"/>
      <c r="W36" s="199"/>
      <c r="X36" s="296"/>
      <c r="Y36" s="299"/>
      <c r="Z36" s="302"/>
      <c r="AA36" s="225"/>
      <c r="AB36" s="305"/>
      <c r="AC36" s="306"/>
      <c r="AD36" s="306"/>
      <c r="AE36" s="306"/>
      <c r="AF36" s="307" t="e">
        <f>+Y36/Z36</f>
        <v>#DIV/0!</v>
      </c>
      <c r="AG36" s="308" t="e">
        <f>+IF(AF36&lt;0.8,"〇","×")</f>
        <v>#DIV/0!</v>
      </c>
      <c r="AH36" s="308" t="str">
        <f>+IF(S36&gt;D36,"〇","×")</f>
        <v>×</v>
      </c>
      <c r="AI36" s="308" t="str">
        <f>+IF(D36&gt;O36,"〇","×")</f>
        <v>×</v>
      </c>
    </row>
    <row r="37" spans="1:35" s="12" customFormat="1" ht="5.0999999999999996" customHeight="1" x14ac:dyDescent="0.15">
      <c r="A37" s="206"/>
      <c r="B37" s="200"/>
      <c r="C37" s="200"/>
      <c r="D37" s="200"/>
      <c r="E37" s="13"/>
      <c r="H37" s="14"/>
      <c r="I37" s="322"/>
      <c r="J37" s="287"/>
      <c r="K37" s="289"/>
      <c r="L37" s="200"/>
      <c r="M37" s="254"/>
      <c r="N37" s="200"/>
      <c r="O37" s="291"/>
      <c r="P37" s="244"/>
      <c r="Q37" s="117"/>
      <c r="R37" s="200"/>
      <c r="S37" s="294"/>
      <c r="T37" s="200"/>
      <c r="U37" s="125"/>
      <c r="V37" s="200"/>
      <c r="W37" s="200"/>
      <c r="X37" s="297"/>
      <c r="Y37" s="300"/>
      <c r="Z37" s="303"/>
      <c r="AA37" s="226"/>
      <c r="AB37" s="305"/>
      <c r="AC37" s="306"/>
      <c r="AD37" s="306"/>
      <c r="AE37" s="306"/>
      <c r="AF37" s="307"/>
      <c r="AG37" s="308"/>
      <c r="AH37" s="308"/>
      <c r="AI37" s="308"/>
    </row>
    <row r="38" spans="1:35" s="12" customFormat="1" ht="5.0999999999999996" customHeight="1" x14ac:dyDescent="0.15">
      <c r="A38" s="206"/>
      <c r="B38" s="200"/>
      <c r="C38" s="200"/>
      <c r="D38" s="200"/>
      <c r="E38" s="13"/>
      <c r="H38" s="14"/>
      <c r="I38" s="322"/>
      <c r="J38" s="309"/>
      <c r="K38" s="310"/>
      <c r="L38" s="200"/>
      <c r="M38" s="254"/>
      <c r="N38" s="200"/>
      <c r="O38" s="291"/>
      <c r="P38" s="244"/>
      <c r="Q38" s="117"/>
      <c r="R38" s="200"/>
      <c r="S38" s="294"/>
      <c r="T38" s="200"/>
      <c r="U38" s="125"/>
      <c r="V38" s="200"/>
      <c r="W38" s="200"/>
      <c r="X38" s="297"/>
      <c r="Y38" s="300"/>
      <c r="Z38" s="303"/>
      <c r="AA38" s="226"/>
      <c r="AB38" s="305"/>
      <c r="AC38" s="306"/>
      <c r="AD38" s="306"/>
      <c r="AE38" s="306"/>
      <c r="AF38" s="307"/>
      <c r="AG38" s="308"/>
      <c r="AH38" s="308"/>
      <c r="AI38" s="308"/>
    </row>
    <row r="39" spans="1:35" s="12" customFormat="1" ht="5.0999999999999996" customHeight="1" x14ac:dyDescent="0.15">
      <c r="A39" s="207"/>
      <c r="B39" s="201"/>
      <c r="C39" s="201"/>
      <c r="D39" s="201"/>
      <c r="E39" s="73"/>
      <c r="F39" s="74"/>
      <c r="G39" s="74"/>
      <c r="H39" s="75"/>
      <c r="I39" s="323"/>
      <c r="J39" s="311"/>
      <c r="K39" s="312"/>
      <c r="L39" s="201"/>
      <c r="M39" s="255"/>
      <c r="N39" s="201"/>
      <c r="O39" s="292"/>
      <c r="P39" s="242"/>
      <c r="Q39" s="132"/>
      <c r="R39" s="201"/>
      <c r="S39" s="295"/>
      <c r="T39" s="201"/>
      <c r="U39" s="126"/>
      <c r="V39" s="201"/>
      <c r="W39" s="201"/>
      <c r="X39" s="298"/>
      <c r="Y39" s="301"/>
      <c r="Z39" s="304"/>
      <c r="AA39" s="227"/>
      <c r="AB39" s="305"/>
      <c r="AC39" s="306"/>
      <c r="AD39" s="306"/>
      <c r="AE39" s="306"/>
      <c r="AF39" s="307"/>
      <c r="AG39" s="308"/>
      <c r="AH39" s="308"/>
      <c r="AI39" s="308"/>
    </row>
    <row r="40" spans="1:35" s="12" customFormat="1" ht="5.0999999999999996" customHeight="1" x14ac:dyDescent="0.15">
      <c r="A40" s="205" t="s">
        <v>170</v>
      </c>
      <c r="B40" s="199" t="s">
        <v>110</v>
      </c>
      <c r="C40" s="199" t="s">
        <v>111</v>
      </c>
      <c r="D40" s="199">
        <v>400</v>
      </c>
      <c r="E40" s="133"/>
      <c r="F40" s="72"/>
      <c r="G40" s="72"/>
      <c r="H40" s="134"/>
      <c r="I40" s="283">
        <f>+VLOOKUP(L40,長さ!A$4:B$100,2,FALSE)</f>
        <v>67</v>
      </c>
      <c r="J40" s="286"/>
      <c r="K40" s="288"/>
      <c r="L40" s="199" t="s">
        <v>86</v>
      </c>
      <c r="M40" s="253">
        <v>70.7</v>
      </c>
      <c r="N40" s="199">
        <f>+D40</f>
        <v>400</v>
      </c>
      <c r="O40" s="290">
        <f>+M40/0.2</f>
        <v>353.5</v>
      </c>
      <c r="P40" s="240" t="s">
        <v>143</v>
      </c>
      <c r="Q40" s="278">
        <v>250</v>
      </c>
      <c r="R40" s="199" t="s">
        <v>113</v>
      </c>
      <c r="S40" s="293">
        <f>+IF($B$31=50,ROUND(VLOOKUP(Q40,$A$4:$C$14,3,FALSE),1),ROUND(VLOOKUP(Q40,$I$4:$K$14,3,FALSE),1))</f>
        <v>535</v>
      </c>
      <c r="T40" s="199">
        <v>0.7</v>
      </c>
      <c r="U40" s="199">
        <f t="shared" ref="U40" si="0">+IF(T40="","-",T40*S40)</f>
        <v>374.5</v>
      </c>
      <c r="V40" s="199">
        <v>1</v>
      </c>
      <c r="W40" s="199">
        <v>0.95</v>
      </c>
      <c r="X40" s="296">
        <f>+IF($B$31=50,VLOOKUP(Q40,$A$4:$C$14,2,FALSE),VLOOKUP(Q40,$I$4:$K$14,2,FALSE))</f>
        <v>0.125</v>
      </c>
      <c r="Y40" s="299">
        <f>+V40*O40*I40*X40/1000</f>
        <v>2.9605625</v>
      </c>
      <c r="Z40" s="302">
        <f>+IF(I40&lt;120,3,IF(I40&lt;200,4,5))</f>
        <v>3</v>
      </c>
      <c r="AA40" s="225"/>
      <c r="AB40" s="305"/>
      <c r="AC40" s="306"/>
      <c r="AD40" s="306"/>
      <c r="AE40" s="306"/>
      <c r="AF40" s="307">
        <f>+Y40/Z40</f>
        <v>0.9868541666666667</v>
      </c>
      <c r="AG40" s="308" t="str">
        <f>+IF(AF40&lt;1,"〇","×")</f>
        <v>〇</v>
      </c>
      <c r="AH40" s="308" t="str">
        <f>+IF(U40&gt;D40,"〇","×")</f>
        <v>×</v>
      </c>
      <c r="AI40" s="308" t="str">
        <f>+IF(D40&gt;O40,"〇","×")</f>
        <v>〇</v>
      </c>
    </row>
    <row r="41" spans="1:35" s="27" customFormat="1" ht="5.0999999999999996" customHeight="1" thickBot="1" x14ac:dyDescent="0.2">
      <c r="A41" s="206"/>
      <c r="B41" s="200"/>
      <c r="C41" s="200"/>
      <c r="D41" s="200"/>
      <c r="E41" s="13"/>
      <c r="F41" s="12"/>
      <c r="G41" s="12"/>
      <c r="H41" s="14"/>
      <c r="I41" s="284"/>
      <c r="J41" s="287"/>
      <c r="K41" s="289"/>
      <c r="L41" s="200"/>
      <c r="M41" s="254"/>
      <c r="N41" s="200"/>
      <c r="O41" s="291"/>
      <c r="P41" s="244"/>
      <c r="Q41" s="279"/>
      <c r="R41" s="200"/>
      <c r="S41" s="294"/>
      <c r="T41" s="200"/>
      <c r="U41" s="200"/>
      <c r="V41" s="200"/>
      <c r="W41" s="200"/>
      <c r="X41" s="297"/>
      <c r="Y41" s="300"/>
      <c r="Z41" s="303"/>
      <c r="AA41" s="226"/>
      <c r="AB41" s="305"/>
      <c r="AC41" s="306"/>
      <c r="AD41" s="306"/>
      <c r="AE41" s="306"/>
      <c r="AF41" s="307"/>
      <c r="AG41" s="308"/>
      <c r="AH41" s="308"/>
      <c r="AI41" s="308"/>
    </row>
    <row r="42" spans="1:35" s="27" customFormat="1" ht="5.0999999999999996" customHeight="1" x14ac:dyDescent="0.15">
      <c r="A42" s="206"/>
      <c r="B42" s="200"/>
      <c r="C42" s="200"/>
      <c r="D42" s="200"/>
      <c r="E42" s="77"/>
      <c r="F42" s="78"/>
      <c r="G42" s="78"/>
      <c r="H42" s="79"/>
      <c r="I42" s="284"/>
      <c r="J42" s="309"/>
      <c r="K42" s="310"/>
      <c r="L42" s="200"/>
      <c r="M42" s="254"/>
      <c r="N42" s="200"/>
      <c r="O42" s="291"/>
      <c r="P42" s="244"/>
      <c r="Q42" s="279"/>
      <c r="R42" s="200"/>
      <c r="S42" s="294"/>
      <c r="T42" s="200"/>
      <c r="U42" s="200"/>
      <c r="V42" s="200"/>
      <c r="W42" s="200"/>
      <c r="X42" s="297"/>
      <c r="Y42" s="300"/>
      <c r="Z42" s="303"/>
      <c r="AA42" s="226"/>
      <c r="AB42" s="305"/>
      <c r="AC42" s="306"/>
      <c r="AD42" s="306"/>
      <c r="AE42" s="306"/>
      <c r="AF42" s="307"/>
      <c r="AG42" s="308"/>
      <c r="AH42" s="308"/>
      <c r="AI42" s="308"/>
    </row>
    <row r="43" spans="1:35" s="27" customFormat="1" ht="5.0999999999999996" customHeight="1" x14ac:dyDescent="0.15">
      <c r="A43" s="207"/>
      <c r="B43" s="201"/>
      <c r="C43" s="201"/>
      <c r="D43" s="200"/>
      <c r="E43" s="13"/>
      <c r="F43" s="12"/>
      <c r="G43" s="74"/>
      <c r="H43" s="75"/>
      <c r="I43" s="285"/>
      <c r="J43" s="311"/>
      <c r="K43" s="312"/>
      <c r="L43" s="201"/>
      <c r="M43" s="255"/>
      <c r="N43" s="201"/>
      <c r="O43" s="292"/>
      <c r="P43" s="242"/>
      <c r="Q43" s="280"/>
      <c r="R43" s="201"/>
      <c r="S43" s="295"/>
      <c r="T43" s="201"/>
      <c r="U43" s="201"/>
      <c r="V43" s="201"/>
      <c r="W43" s="201"/>
      <c r="X43" s="298"/>
      <c r="Y43" s="301"/>
      <c r="Z43" s="304"/>
      <c r="AA43" s="227"/>
      <c r="AB43" s="305"/>
      <c r="AC43" s="306"/>
      <c r="AD43" s="306"/>
      <c r="AE43" s="306"/>
      <c r="AF43" s="307"/>
      <c r="AG43" s="308"/>
      <c r="AH43" s="308"/>
      <c r="AI43" s="308"/>
    </row>
    <row r="44" spans="1:35" s="27" customFormat="1" ht="5.0999999999999996" customHeight="1" x14ac:dyDescent="0.15">
      <c r="A44" s="205" t="s">
        <v>171</v>
      </c>
      <c r="B44" s="199" t="s">
        <v>110</v>
      </c>
      <c r="C44" s="199" t="s">
        <v>111</v>
      </c>
      <c r="D44" s="199">
        <v>225</v>
      </c>
      <c r="E44" s="133"/>
      <c r="F44" s="72"/>
      <c r="G44" s="72"/>
      <c r="H44" s="134"/>
      <c r="I44" s="283">
        <v>123</v>
      </c>
      <c r="J44" s="286"/>
      <c r="K44" s="288"/>
      <c r="L44" s="199" t="s">
        <v>87</v>
      </c>
      <c r="M44" s="253">
        <v>39.9</v>
      </c>
      <c r="N44" s="199">
        <f t="shared" ref="N44" si="1">+D44</f>
        <v>225</v>
      </c>
      <c r="O44" s="290">
        <f t="shared" ref="O44" si="2">+M44/0.2</f>
        <v>199.49999999999997</v>
      </c>
      <c r="P44" s="240" t="s">
        <v>143</v>
      </c>
      <c r="Q44" s="278">
        <v>200</v>
      </c>
      <c r="R44" s="199" t="s">
        <v>113</v>
      </c>
      <c r="S44" s="293">
        <f t="shared" ref="S44" si="3">+IF($B$31=50,ROUND(VLOOKUP(Q44,$A$4:$C$14,3,FALSE),1),ROUND(VLOOKUP(Q44,$I$4:$K$14,3,FALSE),1))</f>
        <v>465</v>
      </c>
      <c r="T44" s="199">
        <v>0.7</v>
      </c>
      <c r="U44" s="199">
        <f t="shared" ref="U44" si="4">+IF(T44="","-",T44*S44)</f>
        <v>325.5</v>
      </c>
      <c r="V44" s="199">
        <v>1</v>
      </c>
      <c r="W44" s="199">
        <v>0.95</v>
      </c>
      <c r="X44" s="296">
        <f t="shared" ref="X44" si="5">+IF($B$31=50,VLOOKUP(Q44,$A$4:$C$14,2,FALSE),VLOOKUP(Q44,$I$4:$K$14,2,FALSE))</f>
        <v>0.14699999999999999</v>
      </c>
      <c r="Y44" s="299">
        <f t="shared" ref="Y44" si="6">+V44*O44*I44*X44/1000</f>
        <v>3.6071594999999994</v>
      </c>
      <c r="Z44" s="302">
        <f t="shared" ref="Z44" si="7">+IF(I44&lt;120,3,IF(I44&lt;200,4,5))</f>
        <v>4</v>
      </c>
      <c r="AA44" s="225"/>
      <c r="AB44" s="305"/>
      <c r="AC44" s="306"/>
      <c r="AD44" s="306"/>
      <c r="AE44" s="306"/>
      <c r="AF44" s="307">
        <f>+Y44/Z44</f>
        <v>0.90178987499999985</v>
      </c>
      <c r="AG44" s="308" t="str">
        <f t="shared" ref="AG44" si="8">+IF(AF44&lt;1,"〇","×")</f>
        <v>〇</v>
      </c>
      <c r="AH44" s="308" t="str">
        <f t="shared" ref="AH44" si="9">+IF(U44&gt;D44,"〇","×")</f>
        <v>〇</v>
      </c>
      <c r="AI44" s="308" t="str">
        <f>+IF(D44&gt;O44,"〇","×")</f>
        <v>〇</v>
      </c>
    </row>
    <row r="45" spans="1:35" ht="5.0999999999999996" customHeight="1" thickBot="1" x14ac:dyDescent="0.2">
      <c r="A45" s="206"/>
      <c r="B45" s="200"/>
      <c r="C45" s="200"/>
      <c r="D45" s="200"/>
      <c r="E45" s="13"/>
      <c r="F45" s="12"/>
      <c r="G45" s="12"/>
      <c r="H45" s="14"/>
      <c r="I45" s="284"/>
      <c r="J45" s="287"/>
      <c r="K45" s="289"/>
      <c r="L45" s="200"/>
      <c r="M45" s="254"/>
      <c r="N45" s="200"/>
      <c r="O45" s="291"/>
      <c r="P45" s="244"/>
      <c r="Q45" s="279"/>
      <c r="R45" s="200"/>
      <c r="S45" s="294"/>
      <c r="T45" s="200"/>
      <c r="U45" s="200"/>
      <c r="V45" s="200"/>
      <c r="W45" s="200"/>
      <c r="X45" s="297"/>
      <c r="Y45" s="300"/>
      <c r="Z45" s="303"/>
      <c r="AA45" s="226"/>
      <c r="AB45" s="305"/>
      <c r="AC45" s="306"/>
      <c r="AD45" s="306"/>
      <c r="AE45" s="306"/>
      <c r="AF45" s="307"/>
      <c r="AG45" s="308"/>
      <c r="AH45" s="308"/>
      <c r="AI45" s="308"/>
    </row>
    <row r="46" spans="1:35" s="18" customFormat="1" ht="5.0999999999999996" customHeight="1" x14ac:dyDescent="0.15">
      <c r="A46" s="206"/>
      <c r="B46" s="200"/>
      <c r="C46" s="200"/>
      <c r="D46" s="200"/>
      <c r="E46" s="77"/>
      <c r="F46" s="78"/>
      <c r="G46" s="78"/>
      <c r="H46" s="79"/>
      <c r="I46" s="284"/>
      <c r="J46" s="309"/>
      <c r="K46" s="310"/>
      <c r="L46" s="200"/>
      <c r="M46" s="254"/>
      <c r="N46" s="200"/>
      <c r="O46" s="291"/>
      <c r="P46" s="244"/>
      <c r="Q46" s="279"/>
      <c r="R46" s="200"/>
      <c r="S46" s="294"/>
      <c r="T46" s="200"/>
      <c r="U46" s="200"/>
      <c r="V46" s="200"/>
      <c r="W46" s="200"/>
      <c r="X46" s="297"/>
      <c r="Y46" s="300"/>
      <c r="Z46" s="303"/>
      <c r="AA46" s="226"/>
      <c r="AB46" s="305"/>
      <c r="AC46" s="306"/>
      <c r="AD46" s="306"/>
      <c r="AE46" s="306"/>
      <c r="AF46" s="307"/>
      <c r="AG46" s="308"/>
      <c r="AH46" s="308"/>
      <c r="AI46" s="308"/>
    </row>
    <row r="47" spans="1:35" ht="5.0999999999999996" customHeight="1" x14ac:dyDescent="0.15">
      <c r="A47" s="207"/>
      <c r="B47" s="201"/>
      <c r="C47" s="201"/>
      <c r="D47" s="200"/>
      <c r="E47" s="13"/>
      <c r="F47" s="12"/>
      <c r="G47" s="74"/>
      <c r="H47" s="75"/>
      <c r="I47" s="285"/>
      <c r="J47" s="311"/>
      <c r="K47" s="312"/>
      <c r="L47" s="201"/>
      <c r="M47" s="255"/>
      <c r="N47" s="201"/>
      <c r="O47" s="292"/>
      <c r="P47" s="242"/>
      <c r="Q47" s="280"/>
      <c r="R47" s="201"/>
      <c r="S47" s="295"/>
      <c r="T47" s="201"/>
      <c r="U47" s="201"/>
      <c r="V47" s="201"/>
      <c r="W47" s="201"/>
      <c r="X47" s="298"/>
      <c r="Y47" s="301"/>
      <c r="Z47" s="304"/>
      <c r="AA47" s="227"/>
      <c r="AB47" s="305"/>
      <c r="AC47" s="306"/>
      <c r="AD47" s="306"/>
      <c r="AE47" s="306"/>
      <c r="AF47" s="307"/>
      <c r="AG47" s="308"/>
      <c r="AH47" s="308"/>
      <c r="AI47" s="308"/>
    </row>
    <row r="48" spans="1:35" s="12" customFormat="1" ht="5.0999999999999996" customHeight="1" x14ac:dyDescent="0.15">
      <c r="A48" s="205" t="s">
        <v>172</v>
      </c>
      <c r="B48" s="199" t="s">
        <v>110</v>
      </c>
      <c r="C48" s="199" t="s">
        <v>111</v>
      </c>
      <c r="D48" s="199">
        <v>175</v>
      </c>
      <c r="E48" s="133"/>
      <c r="F48" s="72"/>
      <c r="G48" s="72"/>
      <c r="H48" s="134"/>
      <c r="I48" s="283">
        <v>201</v>
      </c>
      <c r="J48" s="286"/>
      <c r="K48" s="288"/>
      <c r="L48" s="199" t="s">
        <v>88</v>
      </c>
      <c r="M48" s="253">
        <v>30.1</v>
      </c>
      <c r="N48" s="199">
        <f t="shared" ref="N48" si="10">+D48</f>
        <v>175</v>
      </c>
      <c r="O48" s="290">
        <f>+M48/0.2</f>
        <v>150.5</v>
      </c>
      <c r="P48" s="240" t="s">
        <v>143</v>
      </c>
      <c r="Q48" s="278">
        <v>200</v>
      </c>
      <c r="R48" s="199" t="s">
        <v>113</v>
      </c>
      <c r="S48" s="293">
        <f t="shared" ref="S48" si="11">+IF($B$31=50,ROUND(VLOOKUP(Q48,$A$4:$C$14,3,FALSE),1),ROUND(VLOOKUP(Q48,$I$4:$K$14,3,FALSE),1))</f>
        <v>465</v>
      </c>
      <c r="T48" s="199">
        <v>0.7</v>
      </c>
      <c r="U48" s="199">
        <f t="shared" ref="U48" si="12">+IF(T48="","-",T48*S48)</f>
        <v>325.5</v>
      </c>
      <c r="V48" s="199">
        <v>1</v>
      </c>
      <c r="W48" s="199">
        <v>0.95</v>
      </c>
      <c r="X48" s="296">
        <f t="shared" ref="X48" si="13">+IF($B$31=50,VLOOKUP(Q48,$A$4:$C$14,2,FALSE),VLOOKUP(Q48,$I$4:$K$14,2,FALSE))</f>
        <v>0.14699999999999999</v>
      </c>
      <c r="Y48" s="299">
        <f t="shared" ref="Y48" si="14">+V48*O48*I48*X48/1000</f>
        <v>4.4468234999999998</v>
      </c>
      <c r="Z48" s="302">
        <f t="shared" ref="Z48" si="15">+IF(I48&lt;120,3,IF(I48&lt;200,4,5))</f>
        <v>5</v>
      </c>
      <c r="AA48" s="225"/>
      <c r="AB48" s="305"/>
      <c r="AC48" s="341"/>
      <c r="AD48" s="306"/>
      <c r="AE48" s="306"/>
      <c r="AF48" s="307">
        <f>+Y48/Z48</f>
        <v>0.88936470000000001</v>
      </c>
      <c r="AG48" s="308" t="str">
        <f t="shared" ref="AG48" si="16">+IF(AF48&lt;1,"〇","×")</f>
        <v>〇</v>
      </c>
      <c r="AH48" s="308" t="str">
        <f t="shared" ref="AH48" si="17">+IF(U48&gt;D48,"〇","×")</f>
        <v>〇</v>
      </c>
      <c r="AI48" s="308" t="str">
        <f t="shared" ref="AI48" si="18">+IF(D48&gt;O48,"〇","×")</f>
        <v>〇</v>
      </c>
    </row>
    <row r="49" spans="1:35" s="27" customFormat="1" ht="5.0999999999999996" customHeight="1" thickBot="1" x14ac:dyDescent="0.2">
      <c r="A49" s="206"/>
      <c r="B49" s="200"/>
      <c r="C49" s="200"/>
      <c r="D49" s="200"/>
      <c r="E49" s="13"/>
      <c r="F49" s="12"/>
      <c r="G49" s="12"/>
      <c r="H49" s="14"/>
      <c r="I49" s="284"/>
      <c r="J49" s="287"/>
      <c r="K49" s="289"/>
      <c r="L49" s="200"/>
      <c r="M49" s="254"/>
      <c r="N49" s="200"/>
      <c r="O49" s="291"/>
      <c r="P49" s="244"/>
      <c r="Q49" s="279"/>
      <c r="R49" s="200"/>
      <c r="S49" s="294"/>
      <c r="T49" s="200"/>
      <c r="U49" s="200"/>
      <c r="V49" s="200"/>
      <c r="W49" s="200"/>
      <c r="X49" s="297"/>
      <c r="Y49" s="300"/>
      <c r="Z49" s="303"/>
      <c r="AA49" s="226"/>
      <c r="AB49" s="305"/>
      <c r="AC49" s="306"/>
      <c r="AD49" s="306"/>
      <c r="AE49" s="306"/>
      <c r="AF49" s="307"/>
      <c r="AG49" s="308"/>
      <c r="AH49" s="308"/>
      <c r="AI49" s="308"/>
    </row>
    <row r="50" spans="1:35" s="27" customFormat="1" ht="5.0999999999999996" customHeight="1" x14ac:dyDescent="0.15">
      <c r="A50" s="206"/>
      <c r="B50" s="200"/>
      <c r="C50" s="200"/>
      <c r="D50" s="200"/>
      <c r="E50" s="77"/>
      <c r="F50" s="78"/>
      <c r="G50" s="78"/>
      <c r="H50" s="79"/>
      <c r="I50" s="284"/>
      <c r="J50" s="309"/>
      <c r="K50" s="310"/>
      <c r="L50" s="200"/>
      <c r="M50" s="254"/>
      <c r="N50" s="200"/>
      <c r="O50" s="291"/>
      <c r="P50" s="244"/>
      <c r="Q50" s="279"/>
      <c r="R50" s="200"/>
      <c r="S50" s="294"/>
      <c r="T50" s="200"/>
      <c r="U50" s="200"/>
      <c r="V50" s="200"/>
      <c r="W50" s="200"/>
      <c r="X50" s="297"/>
      <c r="Y50" s="300"/>
      <c r="Z50" s="303"/>
      <c r="AA50" s="226"/>
      <c r="AB50" s="305"/>
      <c r="AC50" s="306"/>
      <c r="AD50" s="306"/>
      <c r="AE50" s="306"/>
      <c r="AF50" s="307"/>
      <c r="AG50" s="308"/>
      <c r="AH50" s="308"/>
      <c r="AI50" s="308"/>
    </row>
    <row r="51" spans="1:35" s="27" customFormat="1" ht="5.0999999999999996" customHeight="1" x14ac:dyDescent="0.15">
      <c r="A51" s="207"/>
      <c r="B51" s="201"/>
      <c r="C51" s="201"/>
      <c r="D51" s="200"/>
      <c r="E51" s="13"/>
      <c r="F51" s="12"/>
      <c r="G51" s="74"/>
      <c r="H51" s="75"/>
      <c r="I51" s="285"/>
      <c r="J51" s="311"/>
      <c r="K51" s="312"/>
      <c r="L51" s="201"/>
      <c r="M51" s="255"/>
      <c r="N51" s="201"/>
      <c r="O51" s="292"/>
      <c r="P51" s="242"/>
      <c r="Q51" s="280"/>
      <c r="R51" s="201"/>
      <c r="S51" s="295"/>
      <c r="T51" s="201"/>
      <c r="U51" s="201"/>
      <c r="V51" s="201"/>
      <c r="W51" s="201"/>
      <c r="X51" s="298"/>
      <c r="Y51" s="301"/>
      <c r="Z51" s="304"/>
      <c r="AA51" s="227"/>
      <c r="AB51" s="305"/>
      <c r="AC51" s="306"/>
      <c r="AD51" s="306"/>
      <c r="AE51" s="306"/>
      <c r="AF51" s="307"/>
      <c r="AG51" s="308"/>
      <c r="AH51" s="308"/>
      <c r="AI51" s="308"/>
    </row>
    <row r="52" spans="1:35" s="27" customFormat="1" ht="5.0999999999999996" customHeight="1" x14ac:dyDescent="0.15">
      <c r="A52" s="205"/>
      <c r="B52" s="199"/>
      <c r="C52" s="199"/>
      <c r="D52" s="199"/>
      <c r="E52" s="133"/>
      <c r="F52" s="72"/>
      <c r="G52" s="72"/>
      <c r="H52" s="134"/>
      <c r="I52" s="199"/>
      <c r="J52" s="286"/>
      <c r="K52" s="288"/>
      <c r="L52" s="199"/>
      <c r="M52" s="121"/>
      <c r="N52" s="199"/>
      <c r="O52" s="199"/>
      <c r="P52" s="324"/>
      <c r="Q52" s="118"/>
      <c r="R52" s="199"/>
      <c r="S52" s="253"/>
      <c r="T52" s="199"/>
      <c r="U52" s="121"/>
      <c r="V52" s="199"/>
      <c r="W52" s="199"/>
      <c r="X52" s="345"/>
      <c r="Y52" s="302"/>
      <c r="Z52" s="302"/>
      <c r="AA52" s="225"/>
      <c r="AB52" s="305"/>
      <c r="AC52" s="341"/>
      <c r="AD52" s="306"/>
      <c r="AE52" s="306"/>
      <c r="AF52" s="307" t="e">
        <f t="shared" ref="AF52" si="19">+Y52/Z52</f>
        <v>#DIV/0!</v>
      </c>
      <c r="AG52" s="308" t="e">
        <f t="shared" ref="AG52" si="20">+IF(AF52&lt;1,"〇","×")</f>
        <v>#DIV/0!</v>
      </c>
      <c r="AH52" s="308" t="str">
        <f>+IF(U52&gt;D52,"〇","×")</f>
        <v>×</v>
      </c>
      <c r="AI52" s="308" t="str">
        <f t="shared" ref="AI52" si="21">+IF(D52&gt;O52,"〇","×")</f>
        <v>×</v>
      </c>
    </row>
    <row r="53" spans="1:35" ht="5.0999999999999996" customHeight="1" x14ac:dyDescent="0.15">
      <c r="A53" s="206"/>
      <c r="B53" s="200"/>
      <c r="C53" s="200"/>
      <c r="D53" s="200"/>
      <c r="E53" s="13"/>
      <c r="F53" s="12"/>
      <c r="G53" s="12"/>
      <c r="H53" s="14"/>
      <c r="I53" s="200"/>
      <c r="J53" s="287"/>
      <c r="K53" s="289"/>
      <c r="L53" s="200"/>
      <c r="M53" s="122"/>
      <c r="N53" s="200"/>
      <c r="O53" s="200"/>
      <c r="P53" s="325"/>
      <c r="Q53" s="119"/>
      <c r="R53" s="200"/>
      <c r="S53" s="254"/>
      <c r="T53" s="200"/>
      <c r="U53" s="122"/>
      <c r="V53" s="200"/>
      <c r="W53" s="200"/>
      <c r="X53" s="346"/>
      <c r="Y53" s="303"/>
      <c r="Z53" s="303"/>
      <c r="AA53" s="226"/>
      <c r="AB53" s="305"/>
      <c r="AC53" s="306"/>
      <c r="AD53" s="306"/>
      <c r="AE53" s="306"/>
      <c r="AF53" s="307"/>
      <c r="AG53" s="308"/>
      <c r="AH53" s="308"/>
      <c r="AI53" s="308"/>
    </row>
    <row r="54" spans="1:35" s="18" customFormat="1" ht="5.0999999999999996" customHeight="1" x14ac:dyDescent="0.15">
      <c r="A54" s="206"/>
      <c r="B54" s="200"/>
      <c r="C54" s="200"/>
      <c r="D54" s="200"/>
      <c r="E54" s="13"/>
      <c r="F54" s="12"/>
      <c r="G54" s="12"/>
      <c r="H54" s="14"/>
      <c r="I54" s="200"/>
      <c r="J54" s="309"/>
      <c r="K54" s="310"/>
      <c r="L54" s="200"/>
      <c r="M54" s="122"/>
      <c r="N54" s="200"/>
      <c r="O54" s="200"/>
      <c r="P54" s="325"/>
      <c r="Q54" s="119"/>
      <c r="R54" s="200"/>
      <c r="S54" s="254"/>
      <c r="T54" s="200"/>
      <c r="U54" s="122"/>
      <c r="V54" s="200"/>
      <c r="W54" s="200"/>
      <c r="X54" s="346"/>
      <c r="Y54" s="303"/>
      <c r="Z54" s="303"/>
      <c r="AA54" s="226"/>
      <c r="AB54" s="305"/>
      <c r="AC54" s="306"/>
      <c r="AD54" s="306"/>
      <c r="AE54" s="306"/>
      <c r="AF54" s="307"/>
      <c r="AG54" s="308"/>
      <c r="AH54" s="308"/>
      <c r="AI54" s="308"/>
    </row>
    <row r="55" spans="1:35" ht="5.0999999999999996" customHeight="1" x14ac:dyDescent="0.15">
      <c r="A55" s="207"/>
      <c r="B55" s="201"/>
      <c r="C55" s="201"/>
      <c r="D55" s="201"/>
      <c r="E55" s="13"/>
      <c r="F55" s="12"/>
      <c r="G55" s="12"/>
      <c r="H55" s="14"/>
      <c r="I55" s="201"/>
      <c r="J55" s="311"/>
      <c r="K55" s="312"/>
      <c r="L55" s="201"/>
      <c r="M55" s="123"/>
      <c r="N55" s="201"/>
      <c r="O55" s="201"/>
      <c r="P55" s="326"/>
      <c r="Q55" s="120"/>
      <c r="R55" s="201"/>
      <c r="S55" s="255"/>
      <c r="T55" s="201"/>
      <c r="U55" s="123"/>
      <c r="V55" s="201"/>
      <c r="W55" s="201"/>
      <c r="X55" s="347"/>
      <c r="Y55" s="304"/>
      <c r="Z55" s="304"/>
      <c r="AA55" s="227"/>
      <c r="AB55" s="305"/>
      <c r="AC55" s="306"/>
      <c r="AD55" s="306"/>
      <c r="AE55" s="306"/>
      <c r="AF55" s="307"/>
      <c r="AG55" s="308"/>
      <c r="AH55" s="308"/>
      <c r="AI55" s="308"/>
    </row>
    <row r="56" spans="1:35" ht="5.0999999999999996" customHeight="1" x14ac:dyDescent="0.15">
      <c r="A56" s="205"/>
      <c r="B56" s="199"/>
      <c r="C56" s="199"/>
      <c r="D56" s="199"/>
      <c r="E56" s="133"/>
      <c r="F56" s="72"/>
      <c r="G56" s="72"/>
      <c r="H56" s="134"/>
      <c r="I56" s="199"/>
      <c r="J56" s="286"/>
      <c r="K56" s="288"/>
      <c r="L56" s="199"/>
      <c r="M56" s="121"/>
      <c r="N56" s="199"/>
      <c r="O56" s="199"/>
      <c r="P56" s="324"/>
      <c r="Q56" s="118"/>
      <c r="R56" s="199"/>
      <c r="S56" s="253"/>
      <c r="T56" s="199"/>
      <c r="U56" s="121"/>
      <c r="V56" s="199"/>
      <c r="W56" s="199"/>
      <c r="X56" s="345"/>
      <c r="Y56" s="253"/>
      <c r="Z56" s="253"/>
      <c r="AA56" s="225"/>
      <c r="AB56" s="305"/>
      <c r="AC56" s="341"/>
      <c r="AD56" s="306"/>
      <c r="AE56" s="306"/>
      <c r="AF56" s="307" t="e">
        <f t="shared" ref="AF56" si="22">+Y56/Z56</f>
        <v>#DIV/0!</v>
      </c>
      <c r="AG56" s="308" t="e">
        <f t="shared" ref="AG56" si="23">+IF(AF56&lt;1,"〇","×")</f>
        <v>#DIV/0!</v>
      </c>
      <c r="AH56" s="308" t="str">
        <f t="shared" ref="AH56" si="24">+IF(U56&gt;D56,"〇","×")</f>
        <v>×</v>
      </c>
      <c r="AI56" s="308" t="str">
        <f t="shared" ref="AI56" si="25">+IF(D56&gt;O56,"〇","×")</f>
        <v>×</v>
      </c>
    </row>
    <row r="57" spans="1:35" ht="5.0999999999999996" customHeight="1" x14ac:dyDescent="0.15">
      <c r="A57" s="206"/>
      <c r="B57" s="349"/>
      <c r="C57" s="349"/>
      <c r="D57" s="349"/>
      <c r="E57" s="13"/>
      <c r="F57" s="12"/>
      <c r="G57" s="12"/>
      <c r="H57" s="14"/>
      <c r="I57" s="349"/>
      <c r="J57" s="287"/>
      <c r="K57" s="289"/>
      <c r="L57" s="349"/>
      <c r="M57" s="122"/>
      <c r="N57" s="349"/>
      <c r="O57" s="349"/>
      <c r="P57" s="348"/>
      <c r="Q57" s="119"/>
      <c r="R57" s="349"/>
      <c r="S57" s="327"/>
      <c r="T57" s="349"/>
      <c r="U57" s="122"/>
      <c r="V57" s="349"/>
      <c r="W57" s="349"/>
      <c r="X57" s="350"/>
      <c r="Y57" s="327"/>
      <c r="Z57" s="327"/>
      <c r="AA57" s="226"/>
      <c r="AB57" s="305"/>
      <c r="AC57" s="306"/>
      <c r="AD57" s="306"/>
      <c r="AE57" s="306"/>
      <c r="AF57" s="307"/>
      <c r="AG57" s="308"/>
      <c r="AH57" s="308"/>
      <c r="AI57" s="308"/>
    </row>
    <row r="58" spans="1:35" ht="5.0999999999999996" customHeight="1" x14ac:dyDescent="0.15">
      <c r="A58" s="206"/>
      <c r="B58" s="349"/>
      <c r="C58" s="349"/>
      <c r="D58" s="349"/>
      <c r="E58" s="13"/>
      <c r="F58" s="12"/>
      <c r="G58" s="12"/>
      <c r="H58" s="14"/>
      <c r="I58" s="349"/>
      <c r="J58" s="309"/>
      <c r="K58" s="310"/>
      <c r="L58" s="349"/>
      <c r="M58" s="122"/>
      <c r="N58" s="349"/>
      <c r="O58" s="349"/>
      <c r="P58" s="348"/>
      <c r="Q58" s="119"/>
      <c r="R58" s="349"/>
      <c r="S58" s="327"/>
      <c r="T58" s="349"/>
      <c r="U58" s="122"/>
      <c r="V58" s="349"/>
      <c r="W58" s="349"/>
      <c r="X58" s="350"/>
      <c r="Y58" s="327"/>
      <c r="Z58" s="327"/>
      <c r="AA58" s="226"/>
      <c r="AB58" s="305"/>
      <c r="AC58" s="306"/>
      <c r="AD58" s="306"/>
      <c r="AE58" s="306"/>
      <c r="AF58" s="307"/>
      <c r="AG58" s="308"/>
      <c r="AH58" s="308"/>
      <c r="AI58" s="308"/>
    </row>
    <row r="59" spans="1:35" ht="5.0999999999999996" customHeight="1" x14ac:dyDescent="0.15">
      <c r="A59" s="207"/>
      <c r="B59" s="201"/>
      <c r="C59" s="201"/>
      <c r="D59" s="201"/>
      <c r="E59" s="13"/>
      <c r="F59" s="12"/>
      <c r="G59" s="12"/>
      <c r="H59" s="14"/>
      <c r="I59" s="201"/>
      <c r="J59" s="311"/>
      <c r="K59" s="312"/>
      <c r="L59" s="201"/>
      <c r="M59" s="123"/>
      <c r="N59" s="201"/>
      <c r="O59" s="201"/>
      <c r="P59" s="326"/>
      <c r="Q59" s="120"/>
      <c r="R59" s="201"/>
      <c r="S59" s="255"/>
      <c r="T59" s="201"/>
      <c r="U59" s="123"/>
      <c r="V59" s="201"/>
      <c r="W59" s="201"/>
      <c r="X59" s="347"/>
      <c r="Y59" s="255"/>
      <c r="Z59" s="255"/>
      <c r="AA59" s="227"/>
      <c r="AB59" s="305"/>
      <c r="AC59" s="306"/>
      <c r="AD59" s="306"/>
      <c r="AE59" s="306"/>
      <c r="AF59" s="307"/>
      <c r="AG59" s="308"/>
      <c r="AH59" s="308"/>
      <c r="AI59" s="308"/>
    </row>
    <row r="60" spans="1:35" ht="5.0999999999999996" customHeight="1" x14ac:dyDescent="0.15">
      <c r="A60" s="205" t="s">
        <v>173</v>
      </c>
      <c r="B60" s="199" t="s">
        <v>110</v>
      </c>
      <c r="C60" s="199" t="s">
        <v>111</v>
      </c>
      <c r="D60" s="199">
        <v>125</v>
      </c>
      <c r="E60" s="133"/>
      <c r="F60" s="72"/>
      <c r="G60" s="72"/>
      <c r="H60" s="134"/>
      <c r="I60" s="253">
        <v>62</v>
      </c>
      <c r="J60" s="286"/>
      <c r="K60" s="288"/>
      <c r="L60" s="199" t="s">
        <v>162</v>
      </c>
      <c r="M60" s="253">
        <f>+M64+M72</f>
        <v>24.5</v>
      </c>
      <c r="N60" s="199"/>
      <c r="O60" s="290">
        <f>+M60/0.2</f>
        <v>122.5</v>
      </c>
      <c r="P60" s="240" t="s">
        <v>143</v>
      </c>
      <c r="Q60" s="278">
        <v>100</v>
      </c>
      <c r="R60" s="199" t="s">
        <v>113</v>
      </c>
      <c r="S60" s="293">
        <f>+IF($B$31=50,ROUND(VLOOKUP(Q60,$A$4:$C$14,3,FALSE),1),ROUND(VLOOKUP(Q60,$I$4:$K$14,3,FALSE),1))</f>
        <v>290</v>
      </c>
      <c r="T60" s="199">
        <v>0.7</v>
      </c>
      <c r="U60" s="199">
        <f t="shared" ref="U60" si="26">+IF(T60="","-",T60*S60)</f>
        <v>203</v>
      </c>
      <c r="V60" s="199">
        <v>1</v>
      </c>
      <c r="W60" s="199">
        <v>0.95</v>
      </c>
      <c r="X60" s="296">
        <f>+IF($B$31=50,VLOOKUP(Q60,$A$4:$C$14,2,FALSE),VLOOKUP(Q60,$I$4:$K$14,2,FALSE))</f>
        <v>0.26</v>
      </c>
      <c r="Y60" s="299">
        <f>+V60*O60*I60*X60/1000</f>
        <v>1.9747000000000001</v>
      </c>
      <c r="Z60" s="302">
        <f>+IF(I60&lt;120,3,IF(I60&lt;200,4,5))</f>
        <v>3</v>
      </c>
      <c r="AA60" s="225" t="s">
        <v>174</v>
      </c>
      <c r="AB60" s="305"/>
      <c r="AC60" s="341"/>
      <c r="AD60" s="306"/>
      <c r="AE60" s="306"/>
      <c r="AF60" s="307">
        <f>+Y60/Z60</f>
        <v>0.65823333333333334</v>
      </c>
      <c r="AG60" s="308" t="str">
        <f t="shared" ref="AG60" si="27">+IF(AF60&lt;1,"〇","×")</f>
        <v>〇</v>
      </c>
      <c r="AH60" s="308" t="str">
        <f>+IF(U60&gt;D60,"〇","×")</f>
        <v>〇</v>
      </c>
      <c r="AI60" s="308" t="str">
        <f t="shared" ref="AI60" si="28">+IF(D60&gt;O60,"〇","×")</f>
        <v>〇</v>
      </c>
    </row>
    <row r="61" spans="1:35" ht="5.0999999999999996" customHeight="1" thickBot="1" x14ac:dyDescent="0.2">
      <c r="A61" s="206"/>
      <c r="B61" s="200"/>
      <c r="C61" s="200"/>
      <c r="D61" s="349"/>
      <c r="E61" s="13"/>
      <c r="F61" s="12"/>
      <c r="G61" s="12"/>
      <c r="H61" s="14"/>
      <c r="I61" s="327"/>
      <c r="J61" s="287"/>
      <c r="K61" s="289"/>
      <c r="L61" s="349"/>
      <c r="M61" s="254"/>
      <c r="N61" s="349"/>
      <c r="O61" s="291"/>
      <c r="P61" s="244"/>
      <c r="Q61" s="279"/>
      <c r="R61" s="200"/>
      <c r="S61" s="294"/>
      <c r="T61" s="200"/>
      <c r="U61" s="200"/>
      <c r="V61" s="200"/>
      <c r="W61" s="200"/>
      <c r="X61" s="297"/>
      <c r="Y61" s="300"/>
      <c r="Z61" s="303"/>
      <c r="AA61" s="226"/>
      <c r="AB61" s="305"/>
      <c r="AC61" s="306"/>
      <c r="AD61" s="306"/>
      <c r="AE61" s="306"/>
      <c r="AF61" s="307"/>
      <c r="AG61" s="308"/>
      <c r="AH61" s="308"/>
      <c r="AI61" s="308"/>
    </row>
    <row r="62" spans="1:35" ht="5.0999999999999996" customHeight="1" x14ac:dyDescent="0.15">
      <c r="A62" s="206"/>
      <c r="B62" s="200"/>
      <c r="C62" s="200"/>
      <c r="D62" s="349"/>
      <c r="E62" s="77"/>
      <c r="F62" s="192"/>
      <c r="G62" s="12"/>
      <c r="H62" s="14"/>
      <c r="I62" s="327"/>
      <c r="J62" s="309"/>
      <c r="K62" s="310"/>
      <c r="L62" s="349"/>
      <c r="M62" s="254"/>
      <c r="N62" s="349"/>
      <c r="O62" s="291"/>
      <c r="P62" s="244"/>
      <c r="Q62" s="279"/>
      <c r="R62" s="200"/>
      <c r="S62" s="294"/>
      <c r="T62" s="200"/>
      <c r="U62" s="200"/>
      <c r="V62" s="200"/>
      <c r="W62" s="200"/>
      <c r="X62" s="297"/>
      <c r="Y62" s="300"/>
      <c r="Z62" s="303"/>
      <c r="AA62" s="226"/>
      <c r="AB62" s="305"/>
      <c r="AC62" s="306"/>
      <c r="AD62" s="306"/>
      <c r="AE62" s="306"/>
      <c r="AF62" s="307"/>
      <c r="AG62" s="308"/>
      <c r="AH62" s="308"/>
      <c r="AI62" s="308"/>
    </row>
    <row r="63" spans="1:35" ht="5.0999999999999996" customHeight="1" x14ac:dyDescent="0.15">
      <c r="A63" s="207"/>
      <c r="B63" s="201"/>
      <c r="C63" s="201"/>
      <c r="D63" s="201"/>
      <c r="E63" s="73"/>
      <c r="F63" s="135"/>
      <c r="G63" s="12"/>
      <c r="H63" s="14"/>
      <c r="I63" s="255"/>
      <c r="J63" s="311"/>
      <c r="K63" s="312"/>
      <c r="L63" s="201"/>
      <c r="M63" s="255"/>
      <c r="N63" s="201"/>
      <c r="O63" s="292"/>
      <c r="P63" s="242"/>
      <c r="Q63" s="280"/>
      <c r="R63" s="201"/>
      <c r="S63" s="295"/>
      <c r="T63" s="201"/>
      <c r="U63" s="201"/>
      <c r="V63" s="201"/>
      <c r="W63" s="201"/>
      <c r="X63" s="298"/>
      <c r="Y63" s="301"/>
      <c r="Z63" s="304"/>
      <c r="AA63" s="227"/>
      <c r="AB63" s="305"/>
      <c r="AC63" s="306"/>
      <c r="AD63" s="306"/>
      <c r="AE63" s="306"/>
      <c r="AF63" s="307"/>
      <c r="AG63" s="308"/>
      <c r="AH63" s="308"/>
      <c r="AI63" s="308"/>
    </row>
    <row r="64" spans="1:35" ht="5.0999999999999996" customHeight="1" x14ac:dyDescent="0.15">
      <c r="A64" s="205" t="s">
        <v>163</v>
      </c>
      <c r="B64" s="199" t="s">
        <v>110</v>
      </c>
      <c r="C64" s="199" t="s">
        <v>111</v>
      </c>
      <c r="D64" s="199"/>
      <c r="E64" s="133"/>
      <c r="F64" s="72"/>
      <c r="G64" s="97"/>
      <c r="H64" s="134"/>
      <c r="I64" s="253">
        <v>5</v>
      </c>
      <c r="J64" s="286" t="s">
        <v>168</v>
      </c>
      <c r="K64" s="288" t="s">
        <v>169</v>
      </c>
      <c r="L64" s="199" t="s">
        <v>86</v>
      </c>
      <c r="M64" s="253">
        <v>12</v>
      </c>
      <c r="N64" s="199">
        <v>75</v>
      </c>
      <c r="O64" s="290">
        <f>+M64/0.2</f>
        <v>60</v>
      </c>
      <c r="P64" s="240" t="s">
        <v>143</v>
      </c>
      <c r="Q64" s="278">
        <v>14</v>
      </c>
      <c r="R64" s="199" t="s">
        <v>187</v>
      </c>
      <c r="S64" s="293">
        <f>+IF($B$31=50,ROUND(VLOOKUP(Q64,$A$4:$C$14,3,FALSE),1),ROUND(VLOOKUP(Q64,$I$4:$K$14,3,FALSE),1))</f>
        <v>86</v>
      </c>
      <c r="T64" s="199">
        <v>1</v>
      </c>
      <c r="U64" s="199">
        <f t="shared" ref="U64" si="29">+IF(T64="","-",T64*S64)</f>
        <v>86</v>
      </c>
      <c r="V64" s="199">
        <v>1</v>
      </c>
      <c r="W64" s="199">
        <v>0.95</v>
      </c>
      <c r="X64" s="296">
        <f>+IF($B$31=50,VLOOKUP(Q64,$A$4:$C$14,2,FALSE),VLOOKUP(Q64,$I$4:$K$14,2,FALSE))</f>
        <v>1.66</v>
      </c>
      <c r="Y64" s="299">
        <f>+V64*O64*I64*X64/1000</f>
        <v>0.498</v>
      </c>
      <c r="Z64" s="302">
        <f>+IF(I64&lt;120,3,IF(I64&lt;200,4,5))</f>
        <v>3</v>
      </c>
      <c r="AA64" s="358">
        <v>1</v>
      </c>
      <c r="AB64" s="305"/>
      <c r="AC64" s="341"/>
      <c r="AD64" s="306"/>
      <c r="AE64" s="306"/>
      <c r="AF64" s="307">
        <f>+Y64/Z64</f>
        <v>0.16600000000000001</v>
      </c>
      <c r="AG64" s="308" t="str">
        <f t="shared" ref="AG64" si="30">+IF(AF64&lt;1,"〇","×")</f>
        <v>〇</v>
      </c>
      <c r="AH64" s="308" t="str">
        <f t="shared" ref="AH64" si="31">+IF(U64&gt;D64,"〇","×")</f>
        <v>〇</v>
      </c>
      <c r="AI64" s="308" t="str">
        <f t="shared" ref="AI64" si="32">+IF(D64&gt;O64,"〇","×")</f>
        <v>×</v>
      </c>
    </row>
    <row r="65" spans="1:35" ht="5.0999999999999996" customHeight="1" thickBot="1" x14ac:dyDescent="0.2">
      <c r="A65" s="206"/>
      <c r="B65" s="200"/>
      <c r="C65" s="200"/>
      <c r="D65" s="349"/>
      <c r="E65" s="13"/>
      <c r="F65" s="12"/>
      <c r="G65" s="98"/>
      <c r="H65" s="99"/>
      <c r="I65" s="327"/>
      <c r="J65" s="287"/>
      <c r="K65" s="289"/>
      <c r="L65" s="349"/>
      <c r="M65" s="254"/>
      <c r="N65" s="349"/>
      <c r="O65" s="291"/>
      <c r="P65" s="244"/>
      <c r="Q65" s="279"/>
      <c r="R65" s="200"/>
      <c r="S65" s="294"/>
      <c r="T65" s="200"/>
      <c r="U65" s="200"/>
      <c r="V65" s="200"/>
      <c r="W65" s="200"/>
      <c r="X65" s="297"/>
      <c r="Y65" s="300"/>
      <c r="Z65" s="303"/>
      <c r="AA65" s="359"/>
      <c r="AB65" s="305"/>
      <c r="AC65" s="306"/>
      <c r="AD65" s="306"/>
      <c r="AE65" s="306"/>
      <c r="AF65" s="307"/>
      <c r="AG65" s="308"/>
      <c r="AH65" s="308"/>
      <c r="AI65" s="308"/>
    </row>
    <row r="66" spans="1:35" ht="5.0999999999999996" customHeight="1" x14ac:dyDescent="0.15">
      <c r="A66" s="206"/>
      <c r="B66" s="200"/>
      <c r="C66" s="200"/>
      <c r="D66" s="349"/>
      <c r="E66" s="13"/>
      <c r="F66" s="12"/>
      <c r="G66" s="100"/>
      <c r="H66" s="79"/>
      <c r="I66" s="327"/>
      <c r="J66" s="309">
        <f>+D60*0.35</f>
        <v>43.75</v>
      </c>
      <c r="K66" s="310"/>
      <c r="L66" s="349"/>
      <c r="M66" s="254"/>
      <c r="N66" s="349"/>
      <c r="O66" s="291"/>
      <c r="P66" s="244"/>
      <c r="Q66" s="279"/>
      <c r="R66" s="200"/>
      <c r="S66" s="294"/>
      <c r="T66" s="200"/>
      <c r="U66" s="200"/>
      <c r="V66" s="200"/>
      <c r="W66" s="200"/>
      <c r="X66" s="297"/>
      <c r="Y66" s="300"/>
      <c r="Z66" s="303"/>
      <c r="AA66" s="359"/>
      <c r="AB66" s="305"/>
      <c r="AC66" s="306"/>
      <c r="AD66" s="306"/>
      <c r="AE66" s="306"/>
      <c r="AF66" s="307"/>
      <c r="AG66" s="308"/>
      <c r="AH66" s="308"/>
      <c r="AI66" s="308"/>
    </row>
    <row r="67" spans="1:35" ht="5.0999999999999996" customHeight="1" x14ac:dyDescent="0.15">
      <c r="A67" s="207"/>
      <c r="B67" s="201"/>
      <c r="C67" s="201"/>
      <c r="D67" s="201"/>
      <c r="E67" s="13"/>
      <c r="F67" s="12"/>
      <c r="G67" s="96"/>
      <c r="H67" s="14"/>
      <c r="I67" s="255"/>
      <c r="J67" s="311"/>
      <c r="K67" s="312"/>
      <c r="L67" s="201"/>
      <c r="M67" s="255"/>
      <c r="N67" s="201"/>
      <c r="O67" s="292"/>
      <c r="P67" s="242"/>
      <c r="Q67" s="280"/>
      <c r="R67" s="201"/>
      <c r="S67" s="295"/>
      <c r="T67" s="201"/>
      <c r="U67" s="201"/>
      <c r="V67" s="201"/>
      <c r="W67" s="201"/>
      <c r="X67" s="298"/>
      <c r="Y67" s="301"/>
      <c r="Z67" s="304"/>
      <c r="AA67" s="360"/>
      <c r="AB67" s="305"/>
      <c r="AC67" s="306"/>
      <c r="AD67" s="306"/>
      <c r="AE67" s="306"/>
      <c r="AF67" s="307"/>
      <c r="AG67" s="308"/>
      <c r="AH67" s="308"/>
      <c r="AI67" s="308"/>
    </row>
    <row r="68" spans="1:35" ht="5.0999999999999996" customHeight="1" x14ac:dyDescent="0.15">
      <c r="A68" s="205"/>
      <c r="B68" s="199"/>
      <c r="C68" s="199"/>
      <c r="D68" s="199"/>
      <c r="E68" s="133"/>
      <c r="F68" s="72"/>
      <c r="G68" s="97"/>
      <c r="H68" s="134"/>
      <c r="I68" s="253"/>
      <c r="J68" s="286"/>
      <c r="K68" s="288"/>
      <c r="L68" s="199"/>
      <c r="M68" s="121"/>
      <c r="N68" s="199"/>
      <c r="O68" s="199"/>
      <c r="P68" s="324"/>
      <c r="Q68" s="118"/>
      <c r="R68" s="199"/>
      <c r="S68" s="253"/>
      <c r="T68" s="199"/>
      <c r="U68" s="121"/>
      <c r="V68" s="199"/>
      <c r="W68" s="199"/>
      <c r="X68" s="345"/>
      <c r="Y68" s="253">
        <f>+Y60+Y64</f>
        <v>2.4727000000000001</v>
      </c>
      <c r="Z68" s="302">
        <f>+IF(I68&lt;120,3,IF(I68&lt;200,4,5))</f>
        <v>3</v>
      </c>
      <c r="AA68" s="225" t="s">
        <v>175</v>
      </c>
      <c r="AB68" s="305"/>
      <c r="AC68" s="341"/>
      <c r="AD68" s="306"/>
      <c r="AE68" s="306"/>
      <c r="AF68" s="307">
        <f>+Y68/Z68</f>
        <v>0.82423333333333337</v>
      </c>
      <c r="AG68" s="308" t="str">
        <f t="shared" ref="AG68" si="33">+IF(AF68&lt;1,"〇","×")</f>
        <v>〇</v>
      </c>
      <c r="AH68" s="308" t="str">
        <f t="shared" ref="AH68" si="34">+IF(U68&gt;D68,"〇","×")</f>
        <v>×</v>
      </c>
      <c r="AI68" s="308" t="str">
        <f t="shared" ref="AI68" si="35">+IF(D68&gt;O68,"〇","×")</f>
        <v>×</v>
      </c>
    </row>
    <row r="69" spans="1:35" ht="5.0999999999999996" customHeight="1" x14ac:dyDescent="0.15">
      <c r="A69" s="206"/>
      <c r="B69" s="349"/>
      <c r="C69" s="349"/>
      <c r="D69" s="349"/>
      <c r="E69" s="13"/>
      <c r="F69" s="12"/>
      <c r="G69" s="96"/>
      <c r="H69" s="14"/>
      <c r="I69" s="327"/>
      <c r="J69" s="287"/>
      <c r="K69" s="289"/>
      <c r="L69" s="349"/>
      <c r="M69" s="122"/>
      <c r="N69" s="349"/>
      <c r="O69" s="349"/>
      <c r="P69" s="348"/>
      <c r="Q69" s="119"/>
      <c r="R69" s="349"/>
      <c r="S69" s="327"/>
      <c r="T69" s="349"/>
      <c r="U69" s="122"/>
      <c r="V69" s="349"/>
      <c r="W69" s="349"/>
      <c r="X69" s="350"/>
      <c r="Y69" s="327"/>
      <c r="Z69" s="303"/>
      <c r="AA69" s="226"/>
      <c r="AB69" s="305"/>
      <c r="AC69" s="306"/>
      <c r="AD69" s="306"/>
      <c r="AE69" s="306"/>
      <c r="AF69" s="307"/>
      <c r="AG69" s="308"/>
      <c r="AH69" s="308"/>
      <c r="AI69" s="308"/>
    </row>
    <row r="70" spans="1:35" ht="5.0999999999999996" customHeight="1" x14ac:dyDescent="0.15">
      <c r="A70" s="206"/>
      <c r="B70" s="349"/>
      <c r="C70" s="349"/>
      <c r="D70" s="349"/>
      <c r="E70" s="13"/>
      <c r="F70" s="12"/>
      <c r="G70" s="96"/>
      <c r="H70" s="14"/>
      <c r="I70" s="327"/>
      <c r="J70" s="309"/>
      <c r="K70" s="310"/>
      <c r="L70" s="349"/>
      <c r="M70" s="122"/>
      <c r="N70" s="349"/>
      <c r="O70" s="349"/>
      <c r="P70" s="348"/>
      <c r="Q70" s="119"/>
      <c r="R70" s="349"/>
      <c r="S70" s="327"/>
      <c r="T70" s="349"/>
      <c r="U70" s="122"/>
      <c r="V70" s="349"/>
      <c r="W70" s="349"/>
      <c r="X70" s="350"/>
      <c r="Y70" s="327"/>
      <c r="Z70" s="303"/>
      <c r="AA70" s="226"/>
      <c r="AB70" s="305"/>
      <c r="AC70" s="306"/>
      <c r="AD70" s="306"/>
      <c r="AE70" s="306"/>
      <c r="AF70" s="307"/>
      <c r="AG70" s="308"/>
      <c r="AH70" s="308"/>
      <c r="AI70" s="308"/>
    </row>
    <row r="71" spans="1:35" ht="5.0999999999999996" customHeight="1" x14ac:dyDescent="0.15">
      <c r="A71" s="207"/>
      <c r="B71" s="201"/>
      <c r="C71" s="201"/>
      <c r="D71" s="201"/>
      <c r="E71" s="13"/>
      <c r="F71" s="12"/>
      <c r="G71" s="96"/>
      <c r="H71" s="14"/>
      <c r="I71" s="255"/>
      <c r="J71" s="311"/>
      <c r="K71" s="312"/>
      <c r="L71" s="201"/>
      <c r="M71" s="123"/>
      <c r="N71" s="201"/>
      <c r="O71" s="201"/>
      <c r="P71" s="326"/>
      <c r="Q71" s="120"/>
      <c r="R71" s="201"/>
      <c r="S71" s="255"/>
      <c r="T71" s="201"/>
      <c r="U71" s="123"/>
      <c r="V71" s="201"/>
      <c r="W71" s="201"/>
      <c r="X71" s="347"/>
      <c r="Y71" s="255"/>
      <c r="Z71" s="304"/>
      <c r="AA71" s="227"/>
      <c r="AB71" s="305"/>
      <c r="AC71" s="306"/>
      <c r="AD71" s="306"/>
      <c r="AE71" s="306"/>
      <c r="AF71" s="307"/>
      <c r="AG71" s="308"/>
      <c r="AH71" s="308"/>
      <c r="AI71" s="308"/>
    </row>
    <row r="72" spans="1:35" ht="5.0999999999999996" customHeight="1" x14ac:dyDescent="0.15">
      <c r="A72" s="205"/>
      <c r="B72" s="199"/>
      <c r="C72" s="199"/>
      <c r="D72" s="199"/>
      <c r="E72" s="133"/>
      <c r="F72" s="72"/>
      <c r="G72" s="97"/>
      <c r="H72" s="134"/>
      <c r="I72" s="253">
        <v>56</v>
      </c>
      <c r="J72" s="286"/>
      <c r="K72" s="288"/>
      <c r="L72" s="199"/>
      <c r="M72" s="253">
        <f>+M76+M84</f>
        <v>12.5</v>
      </c>
      <c r="N72" s="199"/>
      <c r="O72" s="290">
        <f>+M72/0.2</f>
        <v>62.5</v>
      </c>
      <c r="P72" s="240" t="s">
        <v>143</v>
      </c>
      <c r="Q72" s="278">
        <f>+Q60</f>
        <v>100</v>
      </c>
      <c r="R72" s="199" t="s">
        <v>113</v>
      </c>
      <c r="S72" s="293">
        <f>+IF($B$31=50,ROUND(VLOOKUP(Q72,$A$4:$C$14,3,FALSE),1),ROUND(VLOOKUP(Q72,$I$4:$K$14,3,FALSE),1))</f>
        <v>290</v>
      </c>
      <c r="T72" s="199">
        <v>0.7</v>
      </c>
      <c r="U72" s="199">
        <f t="shared" ref="U72" si="36">+IF(T72="","-",T72*S72)</f>
        <v>203</v>
      </c>
      <c r="V72" s="199">
        <v>1</v>
      </c>
      <c r="W72" s="199">
        <v>0.95</v>
      </c>
      <c r="X72" s="296">
        <f>+IF($B$31=50,VLOOKUP(Q72,$A$4:$C$14,2,FALSE),VLOOKUP(Q72,$I$4:$K$14,2,FALSE))</f>
        <v>0.26</v>
      </c>
      <c r="Y72" s="299">
        <f>+V72*O72*I72*X72/1000</f>
        <v>0.91</v>
      </c>
      <c r="Z72" s="302">
        <f>+IF(I72&lt;120,3,IF(I72&lt;200,4,5))</f>
        <v>3</v>
      </c>
      <c r="AA72" s="225" t="s">
        <v>177</v>
      </c>
      <c r="AB72" s="305"/>
      <c r="AC72" s="341"/>
      <c r="AD72" s="306"/>
      <c r="AE72" s="306"/>
      <c r="AF72" s="307">
        <f>+Y72/Z72</f>
        <v>0.30333333333333334</v>
      </c>
      <c r="AG72" s="308" t="str">
        <f t="shared" ref="AG72" si="37">+IF(AF72&lt;1,"〇","×")</f>
        <v>〇</v>
      </c>
      <c r="AH72" s="308" t="str">
        <f t="shared" ref="AH72" si="38">+IF(U72&gt;D72,"〇","×")</f>
        <v>〇</v>
      </c>
      <c r="AI72" s="308" t="str">
        <f t="shared" ref="AI72" si="39">+IF(D72&gt;O72,"〇","×")</f>
        <v>×</v>
      </c>
    </row>
    <row r="73" spans="1:35" ht="5.0999999999999996" customHeight="1" x14ac:dyDescent="0.15">
      <c r="A73" s="206"/>
      <c r="B73" s="349"/>
      <c r="C73" s="349"/>
      <c r="D73" s="349"/>
      <c r="E73" s="13"/>
      <c r="F73" s="12"/>
      <c r="G73" s="96"/>
      <c r="H73" s="14"/>
      <c r="I73" s="327"/>
      <c r="J73" s="287"/>
      <c r="K73" s="289"/>
      <c r="L73" s="349"/>
      <c r="M73" s="254"/>
      <c r="N73" s="349"/>
      <c r="O73" s="291"/>
      <c r="P73" s="244"/>
      <c r="Q73" s="279"/>
      <c r="R73" s="200"/>
      <c r="S73" s="294"/>
      <c r="T73" s="200"/>
      <c r="U73" s="200"/>
      <c r="V73" s="200"/>
      <c r="W73" s="200"/>
      <c r="X73" s="297"/>
      <c r="Y73" s="300"/>
      <c r="Z73" s="303"/>
      <c r="AA73" s="226"/>
      <c r="AB73" s="305"/>
      <c r="AC73" s="306"/>
      <c r="AD73" s="306"/>
      <c r="AE73" s="306"/>
      <c r="AF73" s="307"/>
      <c r="AG73" s="308"/>
      <c r="AH73" s="308"/>
      <c r="AI73" s="308"/>
    </row>
    <row r="74" spans="1:35" ht="5.0999999999999996" customHeight="1" x14ac:dyDescent="0.15">
      <c r="A74" s="206"/>
      <c r="B74" s="349"/>
      <c r="C74" s="349"/>
      <c r="D74" s="349"/>
      <c r="E74" s="13"/>
      <c r="F74" s="12"/>
      <c r="G74" s="96"/>
      <c r="H74" s="14"/>
      <c r="I74" s="327"/>
      <c r="J74" s="309"/>
      <c r="K74" s="310"/>
      <c r="L74" s="349"/>
      <c r="M74" s="254"/>
      <c r="N74" s="349"/>
      <c r="O74" s="291"/>
      <c r="P74" s="244"/>
      <c r="Q74" s="279"/>
      <c r="R74" s="200"/>
      <c r="S74" s="294"/>
      <c r="T74" s="200"/>
      <c r="U74" s="200"/>
      <c r="V74" s="200"/>
      <c r="W74" s="200"/>
      <c r="X74" s="297"/>
      <c r="Y74" s="300"/>
      <c r="Z74" s="303"/>
      <c r="AA74" s="226"/>
      <c r="AB74" s="305"/>
      <c r="AC74" s="306"/>
      <c r="AD74" s="306"/>
      <c r="AE74" s="306"/>
      <c r="AF74" s="307"/>
      <c r="AG74" s="308"/>
      <c r="AH74" s="308"/>
      <c r="AI74" s="308"/>
    </row>
    <row r="75" spans="1:35" ht="5.0999999999999996" customHeight="1" x14ac:dyDescent="0.15">
      <c r="A75" s="207"/>
      <c r="B75" s="201"/>
      <c r="C75" s="201"/>
      <c r="D75" s="201"/>
      <c r="E75" s="13"/>
      <c r="F75" s="12"/>
      <c r="G75" s="96"/>
      <c r="H75" s="14"/>
      <c r="I75" s="255"/>
      <c r="J75" s="311"/>
      <c r="K75" s="312"/>
      <c r="L75" s="201"/>
      <c r="M75" s="255"/>
      <c r="N75" s="201"/>
      <c r="O75" s="292"/>
      <c r="P75" s="242"/>
      <c r="Q75" s="280"/>
      <c r="R75" s="201"/>
      <c r="S75" s="295"/>
      <c r="T75" s="201"/>
      <c r="U75" s="201"/>
      <c r="V75" s="201"/>
      <c r="W75" s="201"/>
      <c r="X75" s="298"/>
      <c r="Y75" s="301"/>
      <c r="Z75" s="304"/>
      <c r="AA75" s="227"/>
      <c r="AB75" s="305"/>
      <c r="AC75" s="306"/>
      <c r="AD75" s="306"/>
      <c r="AE75" s="306"/>
      <c r="AF75" s="307"/>
      <c r="AG75" s="308"/>
      <c r="AH75" s="308"/>
      <c r="AI75" s="308"/>
    </row>
    <row r="76" spans="1:35" ht="5.0999999999999996" customHeight="1" x14ac:dyDescent="0.15">
      <c r="A76" s="205" t="s">
        <v>164</v>
      </c>
      <c r="B76" s="199" t="s">
        <v>110</v>
      </c>
      <c r="C76" s="199" t="s">
        <v>111</v>
      </c>
      <c r="D76" s="199"/>
      <c r="E76" s="133"/>
      <c r="F76" s="72"/>
      <c r="G76" s="97"/>
      <c r="H76" s="134"/>
      <c r="I76" s="253">
        <v>12</v>
      </c>
      <c r="J76" s="286" t="s">
        <v>166</v>
      </c>
      <c r="K76" s="288" t="s">
        <v>167</v>
      </c>
      <c r="L76" s="199" t="s">
        <v>87</v>
      </c>
      <c r="M76" s="253">
        <v>7.5</v>
      </c>
      <c r="N76" s="199">
        <v>50</v>
      </c>
      <c r="O76" s="290">
        <f>+M76/0.2</f>
        <v>37.5</v>
      </c>
      <c r="P76" s="240" t="s">
        <v>143</v>
      </c>
      <c r="Q76" s="278">
        <v>14</v>
      </c>
      <c r="R76" s="199" t="s">
        <v>187</v>
      </c>
      <c r="S76" s="293">
        <f>+IF($B$31=50,ROUND(VLOOKUP(Q76,$A$4:$C$14,3,FALSE),1),ROUND(VLOOKUP(Q76,$I$4:$K$14,3,FALSE),1))</f>
        <v>86</v>
      </c>
      <c r="T76" s="199">
        <v>1</v>
      </c>
      <c r="U76" s="199">
        <f t="shared" ref="U76" si="40">+IF(T76="","-",T76*S76)</f>
        <v>86</v>
      </c>
      <c r="V76" s="199">
        <v>1</v>
      </c>
      <c r="W76" s="199">
        <v>0.95</v>
      </c>
      <c r="X76" s="296">
        <f>+IF($B$31=50,VLOOKUP(Q76,$A$4:$C$14,2,FALSE),VLOOKUP(Q76,$I$4:$K$14,2,FALSE))</f>
        <v>1.66</v>
      </c>
      <c r="Y76" s="299">
        <f>+V76*O76*I76*X76/1000</f>
        <v>0.747</v>
      </c>
      <c r="Z76" s="302">
        <f>+IF(I76&lt;120,3,IF(I76&lt;200,4,5))</f>
        <v>3</v>
      </c>
      <c r="AA76" s="358">
        <v>2</v>
      </c>
      <c r="AB76" s="305"/>
      <c r="AC76" s="306"/>
      <c r="AD76" s="306"/>
      <c r="AE76" s="306"/>
      <c r="AF76" s="307">
        <f>+Y76/Z76</f>
        <v>0.249</v>
      </c>
      <c r="AG76" s="308" t="str">
        <f t="shared" ref="AG76" si="41">+IF(AF76&lt;0.8,"〇","×")</f>
        <v>〇</v>
      </c>
      <c r="AH76" s="308" t="str">
        <f t="shared" ref="AH76" si="42">+IF(U76&gt;D76,"〇","×")</f>
        <v>〇</v>
      </c>
      <c r="AI76" s="308" t="str">
        <f t="shared" ref="AI76" si="43">+IF(D76&gt;O76,"〇","×")</f>
        <v>×</v>
      </c>
    </row>
    <row r="77" spans="1:35" ht="5.0999999999999996" customHeight="1" thickBot="1" x14ac:dyDescent="0.2">
      <c r="A77" s="206"/>
      <c r="B77" s="200"/>
      <c r="C77" s="200"/>
      <c r="D77" s="349"/>
      <c r="E77" s="13"/>
      <c r="F77" s="12"/>
      <c r="G77" s="98"/>
      <c r="H77" s="99"/>
      <c r="I77" s="327"/>
      <c r="J77" s="287"/>
      <c r="K77" s="289"/>
      <c r="L77" s="349"/>
      <c r="M77" s="254"/>
      <c r="N77" s="349"/>
      <c r="O77" s="291"/>
      <c r="P77" s="244"/>
      <c r="Q77" s="279"/>
      <c r="R77" s="200"/>
      <c r="S77" s="294"/>
      <c r="T77" s="200"/>
      <c r="U77" s="200"/>
      <c r="V77" s="200"/>
      <c r="W77" s="200"/>
      <c r="X77" s="297"/>
      <c r="Y77" s="300"/>
      <c r="Z77" s="303"/>
      <c r="AA77" s="359"/>
      <c r="AB77" s="305"/>
      <c r="AC77" s="306"/>
      <c r="AD77" s="306"/>
      <c r="AE77" s="306"/>
      <c r="AF77" s="307"/>
      <c r="AG77" s="308"/>
      <c r="AH77" s="308"/>
      <c r="AI77" s="308"/>
    </row>
    <row r="78" spans="1:35" ht="5.0999999999999996" customHeight="1" x14ac:dyDescent="0.15">
      <c r="A78" s="206"/>
      <c r="B78" s="200"/>
      <c r="C78" s="200"/>
      <c r="D78" s="349"/>
      <c r="E78" s="13"/>
      <c r="F78" s="12"/>
      <c r="G78" s="100"/>
      <c r="H78" s="79"/>
      <c r="I78" s="327"/>
      <c r="J78" s="309">
        <f>+D60*0.55</f>
        <v>68.75</v>
      </c>
      <c r="K78" s="310"/>
      <c r="L78" s="349"/>
      <c r="M78" s="254"/>
      <c r="N78" s="349"/>
      <c r="O78" s="291"/>
      <c r="P78" s="244"/>
      <c r="Q78" s="279"/>
      <c r="R78" s="200"/>
      <c r="S78" s="294"/>
      <c r="T78" s="200"/>
      <c r="U78" s="200"/>
      <c r="V78" s="200"/>
      <c r="W78" s="200"/>
      <c r="X78" s="297"/>
      <c r="Y78" s="300"/>
      <c r="Z78" s="303"/>
      <c r="AA78" s="359"/>
      <c r="AB78" s="305"/>
      <c r="AC78" s="306"/>
      <c r="AD78" s="306"/>
      <c r="AE78" s="306"/>
      <c r="AF78" s="307"/>
      <c r="AG78" s="308"/>
      <c r="AH78" s="308"/>
      <c r="AI78" s="308"/>
    </row>
    <row r="79" spans="1:35" ht="5.0999999999999996" customHeight="1" x14ac:dyDescent="0.15">
      <c r="A79" s="207"/>
      <c r="B79" s="201"/>
      <c r="C79" s="201"/>
      <c r="D79" s="201"/>
      <c r="E79" s="13"/>
      <c r="F79" s="12"/>
      <c r="G79" s="96"/>
      <c r="H79" s="14"/>
      <c r="I79" s="255"/>
      <c r="J79" s="311"/>
      <c r="K79" s="312"/>
      <c r="L79" s="201"/>
      <c r="M79" s="255"/>
      <c r="N79" s="201"/>
      <c r="O79" s="292"/>
      <c r="P79" s="242"/>
      <c r="Q79" s="280"/>
      <c r="R79" s="201"/>
      <c r="S79" s="295"/>
      <c r="T79" s="201"/>
      <c r="U79" s="201"/>
      <c r="V79" s="201"/>
      <c r="W79" s="201"/>
      <c r="X79" s="298"/>
      <c r="Y79" s="301"/>
      <c r="Z79" s="304"/>
      <c r="AA79" s="360"/>
      <c r="AB79" s="305"/>
      <c r="AC79" s="306"/>
      <c r="AD79" s="306"/>
      <c r="AE79" s="306"/>
      <c r="AF79" s="307"/>
      <c r="AG79" s="308"/>
      <c r="AH79" s="308"/>
      <c r="AI79" s="308"/>
    </row>
    <row r="80" spans="1:35" ht="5.0999999999999996" customHeight="1" x14ac:dyDescent="0.15">
      <c r="A80" s="205"/>
      <c r="B80" s="199"/>
      <c r="C80" s="199"/>
      <c r="D80" s="199"/>
      <c r="E80" s="133"/>
      <c r="F80" s="72"/>
      <c r="G80" s="97"/>
      <c r="H80" s="134"/>
      <c r="I80" s="355">
        <f>+I60+I72+I76</f>
        <v>130</v>
      </c>
      <c r="J80" s="286"/>
      <c r="K80" s="288"/>
      <c r="L80" s="199"/>
      <c r="M80" s="121"/>
      <c r="N80" s="199"/>
      <c r="O80" s="199"/>
      <c r="P80" s="324"/>
      <c r="Q80" s="118"/>
      <c r="R80" s="199"/>
      <c r="S80" s="253"/>
      <c r="T80" s="199"/>
      <c r="U80" s="121"/>
      <c r="V80" s="199"/>
      <c r="W80" s="199"/>
      <c r="X80" s="345"/>
      <c r="Y80" s="253">
        <f>+Y60+Y72+Y76</f>
        <v>3.6316999999999999</v>
      </c>
      <c r="Z80" s="302">
        <f>+IF(I80&lt;120,3,IF(I80&lt;200,4,5))</f>
        <v>4</v>
      </c>
      <c r="AA80" s="225" t="s">
        <v>176</v>
      </c>
      <c r="AB80" s="305"/>
      <c r="AC80" s="341"/>
      <c r="AD80" s="306"/>
      <c r="AE80" s="306"/>
      <c r="AF80" s="307">
        <f>+Y80/Z80</f>
        <v>0.90792499999999998</v>
      </c>
      <c r="AG80" s="308" t="str">
        <f t="shared" ref="AG80" si="44">+IF(AF80&lt;1,"〇","×")</f>
        <v>〇</v>
      </c>
      <c r="AH80" s="308" t="str">
        <f t="shared" ref="AH80" si="45">+IF(U80&gt;D80,"〇","×")</f>
        <v>×</v>
      </c>
      <c r="AI80" s="308" t="str">
        <f t="shared" ref="AI80" si="46">+IF(D80&gt;O80,"〇","×")</f>
        <v>×</v>
      </c>
    </row>
    <row r="81" spans="1:35" ht="5.0999999999999996" customHeight="1" x14ac:dyDescent="0.15">
      <c r="A81" s="206"/>
      <c r="B81" s="349"/>
      <c r="C81" s="349"/>
      <c r="D81" s="349"/>
      <c r="E81" s="13"/>
      <c r="F81" s="12"/>
      <c r="G81" s="96"/>
      <c r="H81" s="14"/>
      <c r="I81" s="356"/>
      <c r="J81" s="287"/>
      <c r="K81" s="289"/>
      <c r="L81" s="349"/>
      <c r="M81" s="122"/>
      <c r="N81" s="349"/>
      <c r="O81" s="349"/>
      <c r="P81" s="348"/>
      <c r="Q81" s="119"/>
      <c r="R81" s="349"/>
      <c r="S81" s="327"/>
      <c r="T81" s="349"/>
      <c r="U81" s="122"/>
      <c r="V81" s="349"/>
      <c r="W81" s="349"/>
      <c r="X81" s="350"/>
      <c r="Y81" s="327"/>
      <c r="Z81" s="303"/>
      <c r="AA81" s="226"/>
      <c r="AB81" s="305"/>
      <c r="AC81" s="306"/>
      <c r="AD81" s="306"/>
      <c r="AE81" s="306"/>
      <c r="AF81" s="307"/>
      <c r="AG81" s="308"/>
      <c r="AH81" s="308"/>
      <c r="AI81" s="308"/>
    </row>
    <row r="82" spans="1:35" ht="5.0999999999999996" customHeight="1" x14ac:dyDescent="0.15">
      <c r="A82" s="206"/>
      <c r="B82" s="349"/>
      <c r="C82" s="349"/>
      <c r="D82" s="349"/>
      <c r="E82" s="13"/>
      <c r="F82" s="12"/>
      <c r="G82" s="96"/>
      <c r="H82" s="14"/>
      <c r="I82" s="356"/>
      <c r="J82" s="309"/>
      <c r="K82" s="310"/>
      <c r="L82" s="349"/>
      <c r="M82" s="122"/>
      <c r="N82" s="349"/>
      <c r="O82" s="349"/>
      <c r="P82" s="348"/>
      <c r="Q82" s="119"/>
      <c r="R82" s="349"/>
      <c r="S82" s="327"/>
      <c r="T82" s="349"/>
      <c r="U82" s="122"/>
      <c r="V82" s="349"/>
      <c r="W82" s="349"/>
      <c r="X82" s="350"/>
      <c r="Y82" s="327"/>
      <c r="Z82" s="303"/>
      <c r="AA82" s="226"/>
      <c r="AB82" s="305"/>
      <c r="AC82" s="306"/>
      <c r="AD82" s="306"/>
      <c r="AE82" s="306"/>
      <c r="AF82" s="307"/>
      <c r="AG82" s="308"/>
      <c r="AH82" s="308"/>
      <c r="AI82" s="308"/>
    </row>
    <row r="83" spans="1:35" ht="5.0999999999999996" customHeight="1" x14ac:dyDescent="0.15">
      <c r="A83" s="207"/>
      <c r="B83" s="201"/>
      <c r="C83" s="201"/>
      <c r="D83" s="201"/>
      <c r="E83" s="13"/>
      <c r="F83" s="12"/>
      <c r="G83" s="96"/>
      <c r="H83" s="14"/>
      <c r="I83" s="357"/>
      <c r="J83" s="311"/>
      <c r="K83" s="312"/>
      <c r="L83" s="201"/>
      <c r="M83" s="123"/>
      <c r="N83" s="201"/>
      <c r="O83" s="201"/>
      <c r="P83" s="326"/>
      <c r="Q83" s="120"/>
      <c r="R83" s="201"/>
      <c r="S83" s="255"/>
      <c r="T83" s="201"/>
      <c r="U83" s="123"/>
      <c r="V83" s="201"/>
      <c r="W83" s="201"/>
      <c r="X83" s="347"/>
      <c r="Y83" s="255"/>
      <c r="Z83" s="304"/>
      <c r="AA83" s="227"/>
      <c r="AB83" s="305"/>
      <c r="AC83" s="306"/>
      <c r="AD83" s="306"/>
      <c r="AE83" s="306"/>
      <c r="AF83" s="307"/>
      <c r="AG83" s="308"/>
      <c r="AH83" s="308"/>
      <c r="AI83" s="308"/>
    </row>
    <row r="84" spans="1:35" ht="5.0999999999999996" customHeight="1" x14ac:dyDescent="0.15">
      <c r="A84" s="205" t="s">
        <v>165</v>
      </c>
      <c r="B84" s="199" t="s">
        <v>110</v>
      </c>
      <c r="C84" s="199" t="s">
        <v>111</v>
      </c>
      <c r="D84" s="199"/>
      <c r="E84" s="133"/>
      <c r="F84" s="72"/>
      <c r="G84" s="97"/>
      <c r="H84" s="134"/>
      <c r="I84" s="253">
        <f>201-56-55</f>
        <v>90</v>
      </c>
      <c r="J84" s="286" t="s">
        <v>166</v>
      </c>
      <c r="K84" s="288" t="s">
        <v>167</v>
      </c>
      <c r="L84" s="199" t="s">
        <v>88</v>
      </c>
      <c r="M84" s="253">
        <v>5</v>
      </c>
      <c r="N84" s="199">
        <v>30</v>
      </c>
      <c r="O84" s="290">
        <f>+M84/0.2</f>
        <v>25</v>
      </c>
      <c r="P84" s="240" t="s">
        <v>143</v>
      </c>
      <c r="Q84" s="278">
        <v>38</v>
      </c>
      <c r="R84" s="199" t="s">
        <v>187</v>
      </c>
      <c r="S84" s="293">
        <f>+IF($B$31=50,ROUND(VLOOKUP(Q84,$A$4:$C$14,3,FALSE),1),ROUND(VLOOKUP(Q84,$I$4:$K$14,3,FALSE),1))</f>
        <v>155</v>
      </c>
      <c r="T84" s="199">
        <v>1</v>
      </c>
      <c r="U84" s="199">
        <f t="shared" ref="U84" si="47">+IF(T84="","-",T84*S84)</f>
        <v>155</v>
      </c>
      <c r="V84" s="199">
        <v>1</v>
      </c>
      <c r="W84" s="199">
        <v>0.95</v>
      </c>
      <c r="X84" s="296">
        <f>+IF($B$31=50,VLOOKUP(Q84,$A$4:$C$14,2,FALSE),VLOOKUP(Q84,$I$4:$K$14,2,FALSE))</f>
        <v>0.63100000000000001</v>
      </c>
      <c r="Y84" s="299">
        <f>+V84*O84*I84*X84/1000</f>
        <v>1.4197500000000001</v>
      </c>
      <c r="Z84" s="302">
        <f>+IF(I84&lt;120,3,IF(I84&lt;200,4,5))</f>
        <v>3</v>
      </c>
      <c r="AA84" s="358">
        <v>3</v>
      </c>
      <c r="AB84" s="305"/>
      <c r="AC84" s="341"/>
      <c r="AD84" s="306"/>
      <c r="AE84" s="306"/>
      <c r="AF84" s="307">
        <f>+Y84/Z84</f>
        <v>0.47325</v>
      </c>
      <c r="AG84" s="308" t="str">
        <f t="shared" ref="AG84" si="48">+IF(AF84&lt;1,"〇","×")</f>
        <v>〇</v>
      </c>
      <c r="AH84" s="308" t="str">
        <f t="shared" ref="AH84" si="49">+IF(U84&gt;D84,"〇","×")</f>
        <v>〇</v>
      </c>
      <c r="AI84" s="308" t="str">
        <f t="shared" ref="AI84" si="50">+IF(D84&gt;O84,"〇","×")</f>
        <v>×</v>
      </c>
    </row>
    <row r="85" spans="1:35" ht="5.0999999999999996" customHeight="1" thickBot="1" x14ac:dyDescent="0.2">
      <c r="A85" s="206"/>
      <c r="B85" s="200"/>
      <c r="C85" s="200"/>
      <c r="D85" s="349"/>
      <c r="E85" s="13"/>
      <c r="F85" s="12"/>
      <c r="G85" s="98"/>
      <c r="H85" s="99"/>
      <c r="I85" s="327"/>
      <c r="J85" s="287"/>
      <c r="K85" s="289"/>
      <c r="L85" s="349"/>
      <c r="M85" s="254"/>
      <c r="N85" s="349"/>
      <c r="O85" s="291"/>
      <c r="P85" s="244"/>
      <c r="Q85" s="279"/>
      <c r="R85" s="200"/>
      <c r="S85" s="294"/>
      <c r="T85" s="200"/>
      <c r="U85" s="200"/>
      <c r="V85" s="200"/>
      <c r="W85" s="200"/>
      <c r="X85" s="297"/>
      <c r="Y85" s="300"/>
      <c r="Z85" s="303"/>
      <c r="AA85" s="359"/>
      <c r="AB85" s="305"/>
      <c r="AC85" s="306"/>
      <c r="AD85" s="306"/>
      <c r="AE85" s="306"/>
      <c r="AF85" s="307"/>
      <c r="AG85" s="308"/>
      <c r="AH85" s="308"/>
      <c r="AI85" s="308"/>
    </row>
    <row r="86" spans="1:35" ht="5.0999999999999996" customHeight="1" x14ac:dyDescent="0.15">
      <c r="A86" s="206"/>
      <c r="B86" s="200"/>
      <c r="C86" s="200"/>
      <c r="D86" s="349"/>
      <c r="E86" s="13"/>
      <c r="F86" s="12"/>
      <c r="G86" s="12"/>
      <c r="H86" s="14"/>
      <c r="I86" s="327"/>
      <c r="J86" s="309">
        <f>+D60*0.55</f>
        <v>68.75</v>
      </c>
      <c r="K86" s="310"/>
      <c r="L86" s="349"/>
      <c r="M86" s="254"/>
      <c r="N86" s="349"/>
      <c r="O86" s="291"/>
      <c r="P86" s="244"/>
      <c r="Q86" s="279"/>
      <c r="R86" s="200"/>
      <c r="S86" s="294"/>
      <c r="T86" s="200"/>
      <c r="U86" s="200"/>
      <c r="V86" s="200"/>
      <c r="W86" s="200"/>
      <c r="X86" s="297"/>
      <c r="Y86" s="300"/>
      <c r="Z86" s="303"/>
      <c r="AA86" s="359"/>
      <c r="AB86" s="305"/>
      <c r="AC86" s="306"/>
      <c r="AD86" s="306"/>
      <c r="AE86" s="306"/>
      <c r="AF86" s="307"/>
      <c r="AG86" s="308"/>
      <c r="AH86" s="308"/>
      <c r="AI86" s="308"/>
    </row>
    <row r="87" spans="1:35" ht="5.0999999999999996" customHeight="1" x14ac:dyDescent="0.15">
      <c r="A87" s="207"/>
      <c r="B87" s="201"/>
      <c r="C87" s="201"/>
      <c r="D87" s="201"/>
      <c r="E87" s="13"/>
      <c r="F87" s="12"/>
      <c r="G87" s="12"/>
      <c r="H87" s="14"/>
      <c r="I87" s="255"/>
      <c r="J87" s="311"/>
      <c r="K87" s="312"/>
      <c r="L87" s="201"/>
      <c r="M87" s="255"/>
      <c r="N87" s="201"/>
      <c r="O87" s="292"/>
      <c r="P87" s="242"/>
      <c r="Q87" s="280"/>
      <c r="R87" s="201"/>
      <c r="S87" s="295"/>
      <c r="T87" s="201"/>
      <c r="U87" s="201"/>
      <c r="V87" s="201"/>
      <c r="W87" s="201"/>
      <c r="X87" s="298"/>
      <c r="Y87" s="301"/>
      <c r="Z87" s="304"/>
      <c r="AA87" s="360"/>
      <c r="AB87" s="305"/>
      <c r="AC87" s="306"/>
      <c r="AD87" s="306"/>
      <c r="AE87" s="306"/>
      <c r="AF87" s="307"/>
      <c r="AG87" s="308"/>
      <c r="AH87" s="308"/>
      <c r="AI87" s="308"/>
    </row>
    <row r="88" spans="1:35" ht="5.0999999999999996" customHeight="1" x14ac:dyDescent="0.15">
      <c r="A88" s="205"/>
      <c r="B88" s="199"/>
      <c r="C88" s="199"/>
      <c r="D88" s="199"/>
      <c r="E88" s="133"/>
      <c r="F88" s="72"/>
      <c r="G88" s="72"/>
      <c r="H88" s="134"/>
      <c r="I88" s="355">
        <f>+I60+I72+I84</f>
        <v>208</v>
      </c>
      <c r="J88" s="286"/>
      <c r="K88" s="288"/>
      <c r="L88" s="199"/>
      <c r="M88" s="121"/>
      <c r="N88" s="199"/>
      <c r="O88" s="199"/>
      <c r="P88" s="324"/>
      <c r="Q88" s="118"/>
      <c r="R88" s="199"/>
      <c r="S88" s="253"/>
      <c r="T88" s="199"/>
      <c r="U88" s="121"/>
      <c r="V88" s="199"/>
      <c r="W88" s="199"/>
      <c r="X88" s="345"/>
      <c r="Y88" s="302">
        <f>+Y60+Y72+Y84</f>
        <v>4.3044500000000001</v>
      </c>
      <c r="Z88" s="302">
        <f>+IF(I88&lt;120,3,IF(I88&lt;200,4,5))</f>
        <v>5</v>
      </c>
      <c r="AA88" s="225" t="s">
        <v>178</v>
      </c>
      <c r="AB88" s="305"/>
      <c r="AC88" s="341"/>
      <c r="AD88" s="306"/>
      <c r="AE88" s="306"/>
      <c r="AF88" s="307">
        <f>+Y88/Z88</f>
        <v>0.86089000000000004</v>
      </c>
      <c r="AG88" s="308" t="str">
        <f t="shared" ref="AG88" si="51">+IF(AF88&lt;1,"〇","×")</f>
        <v>〇</v>
      </c>
      <c r="AH88" s="308" t="str">
        <f t="shared" ref="AH88" si="52">+IF(U88&gt;D88,"〇","×")</f>
        <v>×</v>
      </c>
      <c r="AI88" s="308" t="str">
        <f t="shared" ref="AI88" si="53">+IF(D88&gt;O88,"〇","×")</f>
        <v>×</v>
      </c>
    </row>
    <row r="89" spans="1:35" ht="5.0999999999999996" customHeight="1" x14ac:dyDescent="0.15">
      <c r="A89" s="206"/>
      <c r="B89" s="200"/>
      <c r="C89" s="200"/>
      <c r="D89" s="200"/>
      <c r="E89" s="13"/>
      <c r="F89" s="12"/>
      <c r="G89" s="12"/>
      <c r="H89" s="14"/>
      <c r="I89" s="361"/>
      <c r="J89" s="287"/>
      <c r="K89" s="289"/>
      <c r="L89" s="200"/>
      <c r="M89" s="122"/>
      <c r="N89" s="200"/>
      <c r="O89" s="200"/>
      <c r="P89" s="325"/>
      <c r="Q89" s="119"/>
      <c r="R89" s="200"/>
      <c r="S89" s="254"/>
      <c r="T89" s="200"/>
      <c r="U89" s="122"/>
      <c r="V89" s="200"/>
      <c r="W89" s="200"/>
      <c r="X89" s="346"/>
      <c r="Y89" s="303"/>
      <c r="Z89" s="303"/>
      <c r="AA89" s="226"/>
      <c r="AB89" s="305"/>
      <c r="AC89" s="306"/>
      <c r="AD89" s="306"/>
      <c r="AE89" s="306"/>
      <c r="AF89" s="307"/>
      <c r="AG89" s="308"/>
      <c r="AH89" s="308"/>
      <c r="AI89" s="308"/>
    </row>
    <row r="90" spans="1:35" ht="5.0999999999999996" customHeight="1" x14ac:dyDescent="0.15">
      <c r="A90" s="206"/>
      <c r="B90" s="200"/>
      <c r="C90" s="200"/>
      <c r="D90" s="200"/>
      <c r="E90" s="13"/>
      <c r="F90" s="12"/>
      <c r="G90" s="12"/>
      <c r="H90" s="14"/>
      <c r="I90" s="361"/>
      <c r="J90" s="309"/>
      <c r="K90" s="310"/>
      <c r="L90" s="200"/>
      <c r="M90" s="122"/>
      <c r="N90" s="200"/>
      <c r="O90" s="200"/>
      <c r="P90" s="325"/>
      <c r="Q90" s="119"/>
      <c r="R90" s="200"/>
      <c r="S90" s="254"/>
      <c r="T90" s="200"/>
      <c r="U90" s="122"/>
      <c r="V90" s="200"/>
      <c r="W90" s="200"/>
      <c r="X90" s="346"/>
      <c r="Y90" s="303"/>
      <c r="Z90" s="303"/>
      <c r="AA90" s="226"/>
      <c r="AB90" s="305"/>
      <c r="AC90" s="306"/>
      <c r="AD90" s="306"/>
      <c r="AE90" s="306"/>
      <c r="AF90" s="307"/>
      <c r="AG90" s="308"/>
      <c r="AH90" s="308"/>
      <c r="AI90" s="308"/>
    </row>
    <row r="91" spans="1:35" ht="5.0999999999999996" customHeight="1" x14ac:dyDescent="0.15">
      <c r="A91" s="207"/>
      <c r="B91" s="201"/>
      <c r="C91" s="201"/>
      <c r="D91" s="201"/>
      <c r="E91" s="13"/>
      <c r="F91" s="12"/>
      <c r="G91" s="12"/>
      <c r="H91" s="14"/>
      <c r="I91" s="362"/>
      <c r="J91" s="311"/>
      <c r="K91" s="312"/>
      <c r="L91" s="201"/>
      <c r="M91" s="123"/>
      <c r="N91" s="201"/>
      <c r="O91" s="201"/>
      <c r="P91" s="326"/>
      <c r="Q91" s="120"/>
      <c r="R91" s="201"/>
      <c r="S91" s="255"/>
      <c r="T91" s="201"/>
      <c r="U91" s="123"/>
      <c r="V91" s="201"/>
      <c r="W91" s="201"/>
      <c r="X91" s="347"/>
      <c r="Y91" s="304"/>
      <c r="Z91" s="304"/>
      <c r="AA91" s="227"/>
      <c r="AB91" s="305"/>
      <c r="AC91" s="306"/>
      <c r="AD91" s="306"/>
      <c r="AE91" s="306"/>
      <c r="AF91" s="307"/>
      <c r="AG91" s="308"/>
      <c r="AH91" s="308"/>
      <c r="AI91" s="308"/>
    </row>
    <row r="92" spans="1:35" ht="5.0999999999999996" customHeight="1" x14ac:dyDescent="0.15">
      <c r="A92" s="205"/>
      <c r="B92" s="199"/>
      <c r="C92" s="199"/>
      <c r="D92" s="199"/>
      <c r="E92" s="133"/>
      <c r="F92" s="72"/>
      <c r="G92" s="72"/>
      <c r="H92" s="134"/>
      <c r="I92" s="199"/>
      <c r="J92" s="286"/>
      <c r="K92" s="288"/>
      <c r="L92" s="199"/>
      <c r="M92" s="121"/>
      <c r="N92" s="199"/>
      <c r="O92" s="199"/>
      <c r="P92" s="324"/>
      <c r="Q92" s="118"/>
      <c r="R92" s="199"/>
      <c r="S92" s="253"/>
      <c r="T92" s="199"/>
      <c r="U92" s="121"/>
      <c r="V92" s="199"/>
      <c r="W92" s="199"/>
      <c r="X92" s="345"/>
      <c r="Y92" s="302"/>
      <c r="Z92" s="302"/>
      <c r="AA92" s="225"/>
      <c r="AB92" s="305"/>
      <c r="AC92" s="341"/>
      <c r="AD92" s="306"/>
      <c r="AE92" s="306"/>
      <c r="AF92" s="307" t="e">
        <f t="shared" ref="AF92" si="54">+Y92/Z92</f>
        <v>#DIV/0!</v>
      </c>
      <c r="AG92" s="308" t="e">
        <f t="shared" ref="AG92" si="55">+IF(AF92&lt;1,"〇","×")</f>
        <v>#DIV/0!</v>
      </c>
      <c r="AH92" s="308" t="str">
        <f t="shared" ref="AH92" si="56">+IF(U92&gt;D92,"〇","×")</f>
        <v>×</v>
      </c>
      <c r="AI92" s="308" t="str">
        <f t="shared" ref="AI92" si="57">+IF(D92&gt;O92,"〇","×")</f>
        <v>×</v>
      </c>
    </row>
    <row r="93" spans="1:35" ht="5.0999999999999996" customHeight="1" x14ac:dyDescent="0.15">
      <c r="A93" s="206"/>
      <c r="B93" s="200"/>
      <c r="C93" s="200"/>
      <c r="D93" s="200"/>
      <c r="E93" s="13"/>
      <c r="F93" s="12"/>
      <c r="G93" s="12"/>
      <c r="H93" s="14"/>
      <c r="I93" s="200"/>
      <c r="J93" s="287"/>
      <c r="K93" s="289"/>
      <c r="L93" s="200"/>
      <c r="M93" s="122"/>
      <c r="N93" s="200"/>
      <c r="O93" s="200"/>
      <c r="P93" s="325"/>
      <c r="Q93" s="119"/>
      <c r="R93" s="200"/>
      <c r="S93" s="254"/>
      <c r="T93" s="200"/>
      <c r="U93" s="122"/>
      <c r="V93" s="200"/>
      <c r="W93" s="200"/>
      <c r="X93" s="346"/>
      <c r="Y93" s="303"/>
      <c r="Z93" s="303"/>
      <c r="AA93" s="226"/>
      <c r="AB93" s="305"/>
      <c r="AC93" s="306"/>
      <c r="AD93" s="306"/>
      <c r="AE93" s="306"/>
      <c r="AF93" s="307"/>
      <c r="AG93" s="308"/>
      <c r="AH93" s="308"/>
      <c r="AI93" s="308"/>
    </row>
    <row r="94" spans="1:35" ht="5.0999999999999996" customHeight="1" x14ac:dyDescent="0.15">
      <c r="A94" s="206"/>
      <c r="B94" s="200"/>
      <c r="C94" s="200"/>
      <c r="D94" s="200"/>
      <c r="E94" s="13"/>
      <c r="F94" s="12"/>
      <c r="G94" s="12"/>
      <c r="H94" s="14"/>
      <c r="I94" s="200"/>
      <c r="J94" s="309"/>
      <c r="K94" s="310"/>
      <c r="L94" s="200"/>
      <c r="M94" s="122"/>
      <c r="N94" s="200"/>
      <c r="O94" s="200"/>
      <c r="P94" s="325"/>
      <c r="Q94" s="119"/>
      <c r="R94" s="200"/>
      <c r="S94" s="254"/>
      <c r="T94" s="200"/>
      <c r="U94" s="122"/>
      <c r="V94" s="200"/>
      <c r="W94" s="200"/>
      <c r="X94" s="346"/>
      <c r="Y94" s="303"/>
      <c r="Z94" s="303"/>
      <c r="AA94" s="226"/>
      <c r="AB94" s="305"/>
      <c r="AC94" s="306"/>
      <c r="AD94" s="306"/>
      <c r="AE94" s="306"/>
      <c r="AF94" s="307"/>
      <c r="AG94" s="308"/>
      <c r="AH94" s="308"/>
      <c r="AI94" s="308"/>
    </row>
    <row r="95" spans="1:35" ht="5.0999999999999996" customHeight="1" x14ac:dyDescent="0.15">
      <c r="A95" s="207"/>
      <c r="B95" s="201"/>
      <c r="C95" s="201"/>
      <c r="D95" s="201"/>
      <c r="E95" s="13"/>
      <c r="F95" s="12"/>
      <c r="G95" s="12"/>
      <c r="H95" s="14"/>
      <c r="I95" s="201"/>
      <c r="J95" s="311"/>
      <c r="K95" s="312"/>
      <c r="L95" s="201"/>
      <c r="M95" s="123"/>
      <c r="N95" s="201"/>
      <c r="O95" s="201"/>
      <c r="P95" s="326"/>
      <c r="Q95" s="120"/>
      <c r="R95" s="201"/>
      <c r="S95" s="255"/>
      <c r="T95" s="201"/>
      <c r="U95" s="123"/>
      <c r="V95" s="201"/>
      <c r="W95" s="201"/>
      <c r="X95" s="347"/>
      <c r="Y95" s="304"/>
      <c r="Z95" s="304"/>
      <c r="AA95" s="227"/>
      <c r="AB95" s="305"/>
      <c r="AC95" s="306"/>
      <c r="AD95" s="306"/>
      <c r="AE95" s="306"/>
      <c r="AF95" s="307"/>
      <c r="AG95" s="308"/>
      <c r="AH95" s="308"/>
      <c r="AI95" s="308"/>
    </row>
    <row r="96" spans="1:35" ht="5.0999999999999996" customHeight="1" x14ac:dyDescent="0.15">
      <c r="A96" s="205" t="s">
        <v>179</v>
      </c>
      <c r="B96" s="199" t="s">
        <v>180</v>
      </c>
      <c r="C96" s="199">
        <v>100</v>
      </c>
      <c r="D96" s="199">
        <v>50</v>
      </c>
      <c r="E96" s="133"/>
      <c r="F96" s="72"/>
      <c r="G96" s="72"/>
      <c r="H96" s="134"/>
      <c r="I96" s="199">
        <v>102</v>
      </c>
      <c r="J96" s="286"/>
      <c r="K96" s="288"/>
      <c r="L96" s="199" t="s">
        <v>181</v>
      </c>
      <c r="M96" s="253">
        <f>+M100+M108</f>
        <v>4.5</v>
      </c>
      <c r="N96" s="199"/>
      <c r="O96" s="290">
        <f>+M96/0.2</f>
        <v>22.5</v>
      </c>
      <c r="P96" s="324" t="s">
        <v>185</v>
      </c>
      <c r="Q96" s="278">
        <v>22</v>
      </c>
      <c r="R96" s="199" t="s">
        <v>113</v>
      </c>
      <c r="S96" s="302">
        <v>100</v>
      </c>
      <c r="T96" s="199">
        <v>0.7</v>
      </c>
      <c r="U96" s="199">
        <f t="shared" ref="U96" si="58">+IF(T96="","-",T96*S96)</f>
        <v>70</v>
      </c>
      <c r="V96" s="199">
        <v>1</v>
      </c>
      <c r="W96" s="199">
        <v>0.95</v>
      </c>
      <c r="X96" s="351">
        <v>1.03</v>
      </c>
      <c r="Y96" s="299">
        <f>+V96*O96*I96*X96/1000</f>
        <v>2.3638499999999998</v>
      </c>
      <c r="Z96" s="302">
        <f>+IF(I96&lt;120,3,IF(I96&lt;200,4,5))</f>
        <v>3</v>
      </c>
      <c r="AA96" s="225" t="s">
        <v>174</v>
      </c>
      <c r="AB96" s="305"/>
      <c r="AC96" s="341"/>
      <c r="AD96" s="306"/>
      <c r="AE96" s="306"/>
      <c r="AF96" s="307">
        <f t="shared" ref="AF96" si="59">+Y96/Z96</f>
        <v>0.78794999999999993</v>
      </c>
      <c r="AG96" s="308" t="str">
        <f t="shared" ref="AG96" si="60">+IF(AF96&lt;1,"〇","×")</f>
        <v>〇</v>
      </c>
      <c r="AH96" s="308" t="str">
        <f t="shared" ref="AH96" si="61">+IF(U96&gt;D96,"〇","×")</f>
        <v>〇</v>
      </c>
      <c r="AI96" s="308" t="str">
        <f t="shared" ref="AI96" si="62">+IF(D96&gt;O96,"〇","×")</f>
        <v>〇</v>
      </c>
    </row>
    <row r="97" spans="1:35" ht="5.0999999999999996" customHeight="1" thickBot="1" x14ac:dyDescent="0.2">
      <c r="A97" s="206"/>
      <c r="B97" s="200"/>
      <c r="C97" s="200"/>
      <c r="D97" s="200"/>
      <c r="E97" s="13"/>
      <c r="F97" s="12"/>
      <c r="G97" s="12"/>
      <c r="H97" s="14"/>
      <c r="I97" s="200"/>
      <c r="J97" s="287"/>
      <c r="K97" s="289"/>
      <c r="L97" s="200"/>
      <c r="M97" s="254"/>
      <c r="N97" s="200"/>
      <c r="O97" s="291"/>
      <c r="P97" s="325"/>
      <c r="Q97" s="279"/>
      <c r="R97" s="200"/>
      <c r="S97" s="354"/>
      <c r="T97" s="200"/>
      <c r="U97" s="200"/>
      <c r="V97" s="200"/>
      <c r="W97" s="200"/>
      <c r="X97" s="352"/>
      <c r="Y97" s="300"/>
      <c r="Z97" s="303"/>
      <c r="AA97" s="226"/>
      <c r="AB97" s="305"/>
      <c r="AC97" s="306"/>
      <c r="AD97" s="306"/>
      <c r="AE97" s="306"/>
      <c r="AF97" s="307"/>
      <c r="AG97" s="308"/>
      <c r="AH97" s="308"/>
      <c r="AI97" s="308"/>
    </row>
    <row r="98" spans="1:35" ht="5.0999999999999996" customHeight="1" x14ac:dyDescent="0.15">
      <c r="A98" s="206"/>
      <c r="B98" s="200"/>
      <c r="C98" s="200"/>
      <c r="D98" s="200"/>
      <c r="E98" s="77"/>
      <c r="F98" s="192"/>
      <c r="G98" s="12"/>
      <c r="H98" s="14"/>
      <c r="I98" s="200"/>
      <c r="J98" s="309"/>
      <c r="K98" s="310"/>
      <c r="L98" s="200"/>
      <c r="M98" s="254"/>
      <c r="N98" s="200"/>
      <c r="O98" s="291"/>
      <c r="P98" s="325"/>
      <c r="Q98" s="279"/>
      <c r="R98" s="200"/>
      <c r="S98" s="354"/>
      <c r="T98" s="200"/>
      <c r="U98" s="200"/>
      <c r="V98" s="200"/>
      <c r="W98" s="200"/>
      <c r="X98" s="352"/>
      <c r="Y98" s="300"/>
      <c r="Z98" s="303"/>
      <c r="AA98" s="226"/>
      <c r="AB98" s="305"/>
      <c r="AC98" s="306"/>
      <c r="AD98" s="306"/>
      <c r="AE98" s="306"/>
      <c r="AF98" s="307"/>
      <c r="AG98" s="308"/>
      <c r="AH98" s="308"/>
      <c r="AI98" s="308"/>
    </row>
    <row r="99" spans="1:35" ht="5.0999999999999996" customHeight="1" x14ac:dyDescent="0.15">
      <c r="A99" s="207"/>
      <c r="B99" s="201"/>
      <c r="C99" s="201"/>
      <c r="D99" s="201"/>
      <c r="E99" s="73"/>
      <c r="F99" s="135"/>
      <c r="G99" s="12"/>
      <c r="H99" s="14"/>
      <c r="I99" s="201"/>
      <c r="J99" s="311"/>
      <c r="K99" s="312"/>
      <c r="L99" s="201"/>
      <c r="M99" s="255"/>
      <c r="N99" s="201"/>
      <c r="O99" s="292"/>
      <c r="P99" s="326"/>
      <c r="Q99" s="280"/>
      <c r="R99" s="201"/>
      <c r="S99" s="304"/>
      <c r="T99" s="201"/>
      <c r="U99" s="201"/>
      <c r="V99" s="201"/>
      <c r="W99" s="201"/>
      <c r="X99" s="353"/>
      <c r="Y99" s="301"/>
      <c r="Z99" s="304"/>
      <c r="AA99" s="227"/>
      <c r="AB99" s="305"/>
      <c r="AC99" s="306"/>
      <c r="AD99" s="306"/>
      <c r="AE99" s="306"/>
      <c r="AF99" s="307"/>
      <c r="AG99" s="308"/>
      <c r="AH99" s="308"/>
      <c r="AI99" s="308"/>
    </row>
    <row r="100" spans="1:35" ht="5.0999999999999996" customHeight="1" x14ac:dyDescent="0.15">
      <c r="A100" s="205"/>
      <c r="B100" s="199"/>
      <c r="C100" s="199"/>
      <c r="D100" s="199"/>
      <c r="E100" s="133"/>
      <c r="F100" s="72"/>
      <c r="G100" s="97"/>
      <c r="H100" s="134"/>
      <c r="I100" s="199">
        <v>5.5</v>
      </c>
      <c r="J100" s="286"/>
      <c r="K100" s="288"/>
      <c r="L100" s="199" t="s">
        <v>184</v>
      </c>
      <c r="M100" s="253">
        <v>1.5</v>
      </c>
      <c r="N100" s="199">
        <v>20</v>
      </c>
      <c r="O100" s="290">
        <f>+M100/0.2</f>
        <v>7.5</v>
      </c>
      <c r="P100" s="324" t="s">
        <v>186</v>
      </c>
      <c r="Q100" s="278">
        <v>5.5</v>
      </c>
      <c r="R100" s="199" t="s">
        <v>187</v>
      </c>
      <c r="S100" s="302">
        <v>37</v>
      </c>
      <c r="T100" s="199">
        <v>1</v>
      </c>
      <c r="U100" s="199">
        <f t="shared" ref="U100" si="63">+IF(T100="","-",T100*S100)</f>
        <v>37</v>
      </c>
      <c r="V100" s="199">
        <v>1</v>
      </c>
      <c r="W100" s="199">
        <v>0.95</v>
      </c>
      <c r="X100" s="351">
        <v>3.96</v>
      </c>
      <c r="Y100" s="299">
        <f>+V100*O100*I100*X100/1000</f>
        <v>0.16335</v>
      </c>
      <c r="Z100" s="302">
        <f>+IF(I100&lt;120,3,IF(I100&lt;200,4,5))</f>
        <v>3</v>
      </c>
      <c r="AA100" s="358">
        <v>1</v>
      </c>
      <c r="AB100" s="305"/>
      <c r="AC100" s="341"/>
      <c r="AD100" s="306"/>
      <c r="AE100" s="306"/>
      <c r="AF100" s="307">
        <f t="shared" ref="AF100" si="64">+Y100/Z100</f>
        <v>5.4449999999999998E-2</v>
      </c>
      <c r="AG100" s="308" t="str">
        <f t="shared" ref="AG100" si="65">+IF(AF100&lt;1,"〇","×")</f>
        <v>〇</v>
      </c>
      <c r="AH100" s="308" t="str">
        <f t="shared" ref="AH100" si="66">+IF(U100&gt;D100,"〇","×")</f>
        <v>〇</v>
      </c>
      <c r="AI100" s="308" t="str">
        <f t="shared" ref="AI100" si="67">+IF(D100&gt;O100,"〇","×")</f>
        <v>×</v>
      </c>
    </row>
    <row r="101" spans="1:35" ht="5.0999999999999996" customHeight="1" thickBot="1" x14ac:dyDescent="0.2">
      <c r="A101" s="206"/>
      <c r="B101" s="200"/>
      <c r="C101" s="200"/>
      <c r="D101" s="200"/>
      <c r="E101" s="13"/>
      <c r="F101" s="12"/>
      <c r="G101" s="98"/>
      <c r="H101" s="99"/>
      <c r="I101" s="200"/>
      <c r="J101" s="287"/>
      <c r="K101" s="289"/>
      <c r="L101" s="200"/>
      <c r="M101" s="254"/>
      <c r="N101" s="200"/>
      <c r="O101" s="291"/>
      <c r="P101" s="325"/>
      <c r="Q101" s="279"/>
      <c r="R101" s="200"/>
      <c r="S101" s="354"/>
      <c r="T101" s="200"/>
      <c r="U101" s="200"/>
      <c r="V101" s="200"/>
      <c r="W101" s="200"/>
      <c r="X101" s="352"/>
      <c r="Y101" s="300"/>
      <c r="Z101" s="303"/>
      <c r="AA101" s="359"/>
      <c r="AB101" s="305"/>
      <c r="AC101" s="306"/>
      <c r="AD101" s="306"/>
      <c r="AE101" s="306"/>
      <c r="AF101" s="307"/>
      <c r="AG101" s="308"/>
      <c r="AH101" s="308"/>
      <c r="AI101" s="308"/>
    </row>
    <row r="102" spans="1:35" ht="5.0999999999999996" customHeight="1" x14ac:dyDescent="0.15">
      <c r="A102" s="206"/>
      <c r="B102" s="200"/>
      <c r="C102" s="200"/>
      <c r="D102" s="200"/>
      <c r="E102" s="13"/>
      <c r="F102" s="12"/>
      <c r="G102" s="100"/>
      <c r="H102" s="79"/>
      <c r="I102" s="200"/>
      <c r="J102" s="309"/>
      <c r="K102" s="310"/>
      <c r="L102" s="200"/>
      <c r="M102" s="254"/>
      <c r="N102" s="200"/>
      <c r="O102" s="291"/>
      <c r="P102" s="325"/>
      <c r="Q102" s="279"/>
      <c r="R102" s="200"/>
      <c r="S102" s="354"/>
      <c r="T102" s="200"/>
      <c r="U102" s="200"/>
      <c r="V102" s="200"/>
      <c r="W102" s="200"/>
      <c r="X102" s="352"/>
      <c r="Y102" s="300"/>
      <c r="Z102" s="303"/>
      <c r="AA102" s="359"/>
      <c r="AB102" s="305"/>
      <c r="AC102" s="306"/>
      <c r="AD102" s="306"/>
      <c r="AE102" s="306"/>
      <c r="AF102" s="307"/>
      <c r="AG102" s="308"/>
      <c r="AH102" s="308"/>
      <c r="AI102" s="308"/>
    </row>
    <row r="103" spans="1:35" ht="5.0999999999999996" customHeight="1" x14ac:dyDescent="0.15">
      <c r="A103" s="207"/>
      <c r="B103" s="201"/>
      <c r="C103" s="201"/>
      <c r="D103" s="201"/>
      <c r="E103" s="13"/>
      <c r="F103" s="12"/>
      <c r="G103" s="96"/>
      <c r="H103" s="14"/>
      <c r="I103" s="201"/>
      <c r="J103" s="311"/>
      <c r="K103" s="312"/>
      <c r="L103" s="201"/>
      <c r="M103" s="255"/>
      <c r="N103" s="201"/>
      <c r="O103" s="292"/>
      <c r="P103" s="326"/>
      <c r="Q103" s="280"/>
      <c r="R103" s="201"/>
      <c r="S103" s="304"/>
      <c r="T103" s="201"/>
      <c r="U103" s="201"/>
      <c r="V103" s="201"/>
      <c r="W103" s="201"/>
      <c r="X103" s="353"/>
      <c r="Y103" s="301"/>
      <c r="Z103" s="304"/>
      <c r="AA103" s="360"/>
      <c r="AB103" s="305"/>
      <c r="AC103" s="306"/>
      <c r="AD103" s="306"/>
      <c r="AE103" s="306"/>
      <c r="AF103" s="307"/>
      <c r="AG103" s="308"/>
      <c r="AH103" s="308"/>
      <c r="AI103" s="308"/>
    </row>
    <row r="104" spans="1:35" ht="5.0999999999999996" customHeight="1" x14ac:dyDescent="0.15">
      <c r="A104" s="205"/>
      <c r="B104" s="199"/>
      <c r="C104" s="199"/>
      <c r="D104" s="199"/>
      <c r="E104" s="133"/>
      <c r="F104" s="72"/>
      <c r="G104" s="97"/>
      <c r="H104" s="134"/>
      <c r="I104" s="355">
        <f>+I96+I100</f>
        <v>107.5</v>
      </c>
      <c r="J104" s="286"/>
      <c r="K104" s="288"/>
      <c r="L104" s="199"/>
      <c r="M104" s="121"/>
      <c r="N104" s="199"/>
      <c r="O104" s="199"/>
      <c r="P104" s="324"/>
      <c r="Q104" s="118"/>
      <c r="R104" s="199"/>
      <c r="S104" s="253"/>
      <c r="T104" s="199"/>
      <c r="U104" s="121"/>
      <c r="V104" s="199"/>
      <c r="W104" s="199"/>
      <c r="X104" s="345"/>
      <c r="Y104" s="253">
        <f>+Y96+Y100</f>
        <v>2.5271999999999997</v>
      </c>
      <c r="Z104" s="302">
        <v>3</v>
      </c>
      <c r="AA104" s="225" t="s">
        <v>175</v>
      </c>
      <c r="AB104" s="305"/>
      <c r="AC104" s="341"/>
      <c r="AD104" s="306"/>
      <c r="AE104" s="306"/>
      <c r="AF104" s="307">
        <f t="shared" ref="AF104" si="68">+Y104/Z104</f>
        <v>0.84239999999999993</v>
      </c>
      <c r="AG104" s="308" t="str">
        <f t="shared" ref="AG104" si="69">+IF(AF104&lt;1,"〇","×")</f>
        <v>〇</v>
      </c>
      <c r="AH104" s="308" t="str">
        <f t="shared" ref="AH104" si="70">+IF(U104&gt;D104,"〇","×")</f>
        <v>×</v>
      </c>
      <c r="AI104" s="308" t="str">
        <f t="shared" ref="AI104" si="71">+IF(D104&gt;O104,"〇","×")</f>
        <v>×</v>
      </c>
    </row>
    <row r="105" spans="1:35" ht="5.0999999999999996" customHeight="1" x14ac:dyDescent="0.15">
      <c r="A105" s="206"/>
      <c r="B105" s="200"/>
      <c r="C105" s="200"/>
      <c r="D105" s="200"/>
      <c r="E105" s="13"/>
      <c r="F105" s="12"/>
      <c r="G105" s="96"/>
      <c r="H105" s="14"/>
      <c r="I105" s="356"/>
      <c r="J105" s="287"/>
      <c r="K105" s="289"/>
      <c r="L105" s="200"/>
      <c r="M105" s="122"/>
      <c r="N105" s="200"/>
      <c r="O105" s="200"/>
      <c r="P105" s="325"/>
      <c r="Q105" s="119"/>
      <c r="R105" s="200"/>
      <c r="S105" s="254"/>
      <c r="T105" s="200"/>
      <c r="U105" s="122"/>
      <c r="V105" s="200"/>
      <c r="W105" s="200"/>
      <c r="X105" s="346"/>
      <c r="Y105" s="327"/>
      <c r="Z105" s="303"/>
      <c r="AA105" s="226"/>
      <c r="AB105" s="305"/>
      <c r="AC105" s="306"/>
      <c r="AD105" s="306"/>
      <c r="AE105" s="306"/>
      <c r="AF105" s="307"/>
      <c r="AG105" s="308"/>
      <c r="AH105" s="308"/>
      <c r="AI105" s="308"/>
    </row>
    <row r="106" spans="1:35" ht="5.0999999999999996" customHeight="1" x14ac:dyDescent="0.15">
      <c r="A106" s="206"/>
      <c r="B106" s="200"/>
      <c r="C106" s="200"/>
      <c r="D106" s="200"/>
      <c r="E106" s="13"/>
      <c r="F106" s="12"/>
      <c r="G106" s="96"/>
      <c r="H106" s="14"/>
      <c r="I106" s="356"/>
      <c r="J106" s="309"/>
      <c r="K106" s="310"/>
      <c r="L106" s="200"/>
      <c r="M106" s="122"/>
      <c r="N106" s="200"/>
      <c r="O106" s="200"/>
      <c r="P106" s="325"/>
      <c r="Q106" s="119"/>
      <c r="R106" s="200"/>
      <c r="S106" s="254"/>
      <c r="T106" s="200"/>
      <c r="U106" s="122"/>
      <c r="V106" s="200"/>
      <c r="W106" s="200"/>
      <c r="X106" s="346"/>
      <c r="Y106" s="327"/>
      <c r="Z106" s="303"/>
      <c r="AA106" s="226"/>
      <c r="AB106" s="305"/>
      <c r="AC106" s="306"/>
      <c r="AD106" s="306"/>
      <c r="AE106" s="306"/>
      <c r="AF106" s="307"/>
      <c r="AG106" s="308"/>
      <c r="AH106" s="308"/>
      <c r="AI106" s="308"/>
    </row>
    <row r="107" spans="1:35" ht="5.0999999999999996" customHeight="1" x14ac:dyDescent="0.15">
      <c r="A107" s="207"/>
      <c r="B107" s="201"/>
      <c r="C107" s="201"/>
      <c r="D107" s="201"/>
      <c r="E107" s="13"/>
      <c r="F107" s="12"/>
      <c r="G107" s="96"/>
      <c r="H107" s="14"/>
      <c r="I107" s="357"/>
      <c r="J107" s="311"/>
      <c r="K107" s="312"/>
      <c r="L107" s="201"/>
      <c r="M107" s="123"/>
      <c r="N107" s="201"/>
      <c r="O107" s="201"/>
      <c r="P107" s="326"/>
      <c r="Q107" s="120"/>
      <c r="R107" s="201"/>
      <c r="S107" s="255"/>
      <c r="T107" s="201"/>
      <c r="U107" s="123"/>
      <c r="V107" s="201"/>
      <c r="W107" s="201"/>
      <c r="X107" s="347"/>
      <c r="Y107" s="255"/>
      <c r="Z107" s="304"/>
      <c r="AA107" s="227"/>
      <c r="AB107" s="305"/>
      <c r="AC107" s="306"/>
      <c r="AD107" s="306"/>
      <c r="AE107" s="306"/>
      <c r="AF107" s="307"/>
      <c r="AG107" s="308"/>
      <c r="AH107" s="308"/>
      <c r="AI107" s="308"/>
    </row>
    <row r="108" spans="1:35" ht="5.0999999999999996" customHeight="1" x14ac:dyDescent="0.15">
      <c r="A108" s="205"/>
      <c r="B108" s="199"/>
      <c r="C108" s="199"/>
      <c r="D108" s="199"/>
      <c r="E108" s="133"/>
      <c r="F108" s="72"/>
      <c r="G108" s="97"/>
      <c r="H108" s="134"/>
      <c r="I108" s="199">
        <v>6.5</v>
      </c>
      <c r="J108" s="286"/>
      <c r="K108" s="288"/>
      <c r="L108" s="199"/>
      <c r="M108" s="253">
        <f>+M112+M120</f>
        <v>3</v>
      </c>
      <c r="N108" s="199"/>
      <c r="O108" s="290">
        <f>+M108/0.2</f>
        <v>15</v>
      </c>
      <c r="P108" s="324" t="s">
        <v>185</v>
      </c>
      <c r="Q108" s="278">
        <f>+Q96</f>
        <v>22</v>
      </c>
      <c r="R108" s="199" t="s">
        <v>113</v>
      </c>
      <c r="S108" s="302">
        <v>100</v>
      </c>
      <c r="T108" s="199">
        <v>0.7</v>
      </c>
      <c r="U108" s="199">
        <f t="shared" ref="U108" si="72">+IF(T108="","-",T108*S108)</f>
        <v>70</v>
      </c>
      <c r="V108" s="199">
        <v>1</v>
      </c>
      <c r="W108" s="199">
        <v>0.95</v>
      </c>
      <c r="X108" s="351">
        <v>1.03</v>
      </c>
      <c r="Y108" s="299">
        <f>+V108*O108*I108*X108/1000</f>
        <v>0.100425</v>
      </c>
      <c r="Z108" s="302">
        <f>+IF(I108&lt;120,3,IF(I108&lt;200,4,5))</f>
        <v>3</v>
      </c>
      <c r="AA108" s="225" t="s">
        <v>177</v>
      </c>
      <c r="AB108" s="305"/>
      <c r="AC108" s="341"/>
      <c r="AD108" s="306"/>
      <c r="AE108" s="306"/>
      <c r="AF108" s="307">
        <f t="shared" ref="AF108" si="73">+Y108/Z108</f>
        <v>3.3474999999999998E-2</v>
      </c>
      <c r="AG108" s="308" t="str">
        <f t="shared" ref="AG108" si="74">+IF(AF108&lt;1,"〇","×")</f>
        <v>〇</v>
      </c>
      <c r="AH108" s="308" t="str">
        <f t="shared" ref="AH108" si="75">+IF(U108&gt;D108,"〇","×")</f>
        <v>〇</v>
      </c>
      <c r="AI108" s="308" t="str">
        <f t="shared" ref="AI108" si="76">+IF(D108&gt;O108,"〇","×")</f>
        <v>×</v>
      </c>
    </row>
    <row r="109" spans="1:35" ht="5.0999999999999996" customHeight="1" x14ac:dyDescent="0.15">
      <c r="A109" s="206"/>
      <c r="B109" s="200"/>
      <c r="C109" s="200"/>
      <c r="D109" s="200"/>
      <c r="E109" s="13"/>
      <c r="F109" s="12"/>
      <c r="G109" s="96"/>
      <c r="H109" s="14"/>
      <c r="I109" s="200"/>
      <c r="J109" s="287"/>
      <c r="K109" s="289"/>
      <c r="L109" s="200"/>
      <c r="M109" s="254"/>
      <c r="N109" s="200"/>
      <c r="O109" s="291"/>
      <c r="P109" s="325"/>
      <c r="Q109" s="279"/>
      <c r="R109" s="200"/>
      <c r="S109" s="354"/>
      <c r="T109" s="200"/>
      <c r="U109" s="200"/>
      <c r="V109" s="200"/>
      <c r="W109" s="200"/>
      <c r="X109" s="352"/>
      <c r="Y109" s="300"/>
      <c r="Z109" s="303"/>
      <c r="AA109" s="226"/>
      <c r="AB109" s="305"/>
      <c r="AC109" s="306"/>
      <c r="AD109" s="306"/>
      <c r="AE109" s="306"/>
      <c r="AF109" s="307"/>
      <c r="AG109" s="308"/>
      <c r="AH109" s="308"/>
      <c r="AI109" s="308"/>
    </row>
    <row r="110" spans="1:35" ht="5.0999999999999996" customHeight="1" x14ac:dyDescent="0.15">
      <c r="A110" s="206"/>
      <c r="B110" s="200"/>
      <c r="C110" s="200"/>
      <c r="D110" s="200"/>
      <c r="E110" s="13"/>
      <c r="F110" s="12"/>
      <c r="G110" s="96"/>
      <c r="H110" s="14"/>
      <c r="I110" s="200"/>
      <c r="J110" s="309"/>
      <c r="K110" s="310"/>
      <c r="L110" s="200"/>
      <c r="M110" s="254"/>
      <c r="N110" s="200"/>
      <c r="O110" s="291"/>
      <c r="P110" s="325"/>
      <c r="Q110" s="279"/>
      <c r="R110" s="200"/>
      <c r="S110" s="354"/>
      <c r="T110" s="200"/>
      <c r="U110" s="200"/>
      <c r="V110" s="200"/>
      <c r="W110" s="200"/>
      <c r="X110" s="352"/>
      <c r="Y110" s="300"/>
      <c r="Z110" s="303"/>
      <c r="AA110" s="226"/>
      <c r="AB110" s="305"/>
      <c r="AC110" s="306"/>
      <c r="AD110" s="306"/>
      <c r="AE110" s="306"/>
      <c r="AF110" s="307"/>
      <c r="AG110" s="308"/>
      <c r="AH110" s="308"/>
      <c r="AI110" s="308"/>
    </row>
    <row r="111" spans="1:35" ht="5.0999999999999996" customHeight="1" x14ac:dyDescent="0.15">
      <c r="A111" s="207"/>
      <c r="B111" s="201"/>
      <c r="C111" s="201"/>
      <c r="D111" s="201"/>
      <c r="E111" s="13"/>
      <c r="F111" s="12"/>
      <c r="G111" s="96"/>
      <c r="H111" s="14"/>
      <c r="I111" s="201"/>
      <c r="J111" s="311"/>
      <c r="K111" s="312"/>
      <c r="L111" s="201"/>
      <c r="M111" s="255"/>
      <c r="N111" s="201"/>
      <c r="O111" s="292"/>
      <c r="P111" s="326"/>
      <c r="Q111" s="280"/>
      <c r="R111" s="201"/>
      <c r="S111" s="304"/>
      <c r="T111" s="201"/>
      <c r="U111" s="201"/>
      <c r="V111" s="201"/>
      <c r="W111" s="201"/>
      <c r="X111" s="353"/>
      <c r="Y111" s="301"/>
      <c r="Z111" s="304"/>
      <c r="AA111" s="227"/>
      <c r="AB111" s="305"/>
      <c r="AC111" s="306"/>
      <c r="AD111" s="306"/>
      <c r="AE111" s="306"/>
      <c r="AF111" s="307"/>
      <c r="AG111" s="308"/>
      <c r="AH111" s="308"/>
      <c r="AI111" s="308"/>
    </row>
    <row r="112" spans="1:35" ht="5.0999999999999996" customHeight="1" x14ac:dyDescent="0.15">
      <c r="A112" s="205"/>
      <c r="B112" s="199"/>
      <c r="C112" s="199"/>
      <c r="D112" s="199"/>
      <c r="E112" s="133"/>
      <c r="F112" s="72"/>
      <c r="G112" s="97"/>
      <c r="H112" s="134"/>
      <c r="I112" s="199">
        <v>5.5</v>
      </c>
      <c r="J112" s="286"/>
      <c r="K112" s="288"/>
      <c r="L112" s="199" t="s">
        <v>182</v>
      </c>
      <c r="M112" s="253">
        <v>1.5</v>
      </c>
      <c r="N112" s="199">
        <v>20</v>
      </c>
      <c r="O112" s="290">
        <f>+M112/0.2</f>
        <v>7.5</v>
      </c>
      <c r="P112" s="324" t="s">
        <v>186</v>
      </c>
      <c r="Q112" s="278">
        <v>5.5</v>
      </c>
      <c r="R112" s="199" t="s">
        <v>187</v>
      </c>
      <c r="S112" s="302">
        <v>37</v>
      </c>
      <c r="T112" s="199">
        <v>1</v>
      </c>
      <c r="U112" s="199">
        <f t="shared" ref="U112" si="77">+IF(T112="","-",T112*S112)</f>
        <v>37</v>
      </c>
      <c r="V112" s="199">
        <v>1</v>
      </c>
      <c r="W112" s="199">
        <v>0.95</v>
      </c>
      <c r="X112" s="351">
        <v>3.96</v>
      </c>
      <c r="Y112" s="299">
        <f>+V112*O112*I112*X112/1000</f>
        <v>0.16335</v>
      </c>
      <c r="Z112" s="302">
        <f>+IF(I112&lt;120,3,IF(I112&lt;200,4,5))</f>
        <v>3</v>
      </c>
      <c r="AA112" s="358">
        <v>2</v>
      </c>
      <c r="AB112" s="305"/>
      <c r="AC112" s="341"/>
      <c r="AD112" s="306"/>
      <c r="AE112" s="306"/>
      <c r="AF112" s="307">
        <f t="shared" ref="AF112" si="78">+Y112/Z112</f>
        <v>5.4449999999999998E-2</v>
      </c>
      <c r="AG112" s="308" t="str">
        <f t="shared" ref="AG112" si="79">+IF(AF112&lt;1,"〇","×")</f>
        <v>〇</v>
      </c>
      <c r="AH112" s="308" t="str">
        <f t="shared" ref="AH112" si="80">+IF(U112&gt;D112,"〇","×")</f>
        <v>〇</v>
      </c>
      <c r="AI112" s="308" t="str">
        <f t="shared" ref="AI112" si="81">+IF(D112&gt;O112,"〇","×")</f>
        <v>×</v>
      </c>
    </row>
    <row r="113" spans="1:35" ht="5.0999999999999996" customHeight="1" thickBot="1" x14ac:dyDescent="0.2">
      <c r="A113" s="206"/>
      <c r="B113" s="200"/>
      <c r="C113" s="200"/>
      <c r="D113" s="200"/>
      <c r="E113" s="13"/>
      <c r="F113" s="12"/>
      <c r="G113" s="98"/>
      <c r="H113" s="99"/>
      <c r="I113" s="200"/>
      <c r="J113" s="287"/>
      <c r="K113" s="289"/>
      <c r="L113" s="200"/>
      <c r="M113" s="254"/>
      <c r="N113" s="200"/>
      <c r="O113" s="291"/>
      <c r="P113" s="325"/>
      <c r="Q113" s="279"/>
      <c r="R113" s="200"/>
      <c r="S113" s="354"/>
      <c r="T113" s="200"/>
      <c r="U113" s="200"/>
      <c r="V113" s="200"/>
      <c r="W113" s="200"/>
      <c r="X113" s="352"/>
      <c r="Y113" s="300"/>
      <c r="Z113" s="303"/>
      <c r="AA113" s="359"/>
      <c r="AB113" s="305"/>
      <c r="AC113" s="306"/>
      <c r="AD113" s="306"/>
      <c r="AE113" s="306"/>
      <c r="AF113" s="307"/>
      <c r="AG113" s="308"/>
      <c r="AH113" s="308"/>
      <c r="AI113" s="308"/>
    </row>
    <row r="114" spans="1:35" ht="5.0999999999999996" customHeight="1" x14ac:dyDescent="0.15">
      <c r="A114" s="206"/>
      <c r="B114" s="200"/>
      <c r="C114" s="200"/>
      <c r="D114" s="200"/>
      <c r="E114" s="13"/>
      <c r="F114" s="12"/>
      <c r="G114" s="100"/>
      <c r="H114" s="79"/>
      <c r="I114" s="200"/>
      <c r="J114" s="309"/>
      <c r="K114" s="310"/>
      <c r="L114" s="200"/>
      <c r="M114" s="254"/>
      <c r="N114" s="200"/>
      <c r="O114" s="291"/>
      <c r="P114" s="325"/>
      <c r="Q114" s="279"/>
      <c r="R114" s="200"/>
      <c r="S114" s="354"/>
      <c r="T114" s="200"/>
      <c r="U114" s="200"/>
      <c r="V114" s="200"/>
      <c r="W114" s="200"/>
      <c r="X114" s="352"/>
      <c r="Y114" s="300"/>
      <c r="Z114" s="303"/>
      <c r="AA114" s="359"/>
      <c r="AB114" s="305"/>
      <c r="AC114" s="306"/>
      <c r="AD114" s="306"/>
      <c r="AE114" s="306"/>
      <c r="AF114" s="307"/>
      <c r="AG114" s="308"/>
      <c r="AH114" s="308"/>
      <c r="AI114" s="308"/>
    </row>
    <row r="115" spans="1:35" ht="5.0999999999999996" customHeight="1" x14ac:dyDescent="0.15">
      <c r="A115" s="207"/>
      <c r="B115" s="201"/>
      <c r="C115" s="201"/>
      <c r="D115" s="201"/>
      <c r="E115" s="13"/>
      <c r="F115" s="12"/>
      <c r="G115" s="96"/>
      <c r="H115" s="14"/>
      <c r="I115" s="201"/>
      <c r="J115" s="311"/>
      <c r="K115" s="312"/>
      <c r="L115" s="201"/>
      <c r="M115" s="255"/>
      <c r="N115" s="201"/>
      <c r="O115" s="292"/>
      <c r="P115" s="326"/>
      <c r="Q115" s="280"/>
      <c r="R115" s="201"/>
      <c r="S115" s="304"/>
      <c r="T115" s="201"/>
      <c r="U115" s="201"/>
      <c r="V115" s="201"/>
      <c r="W115" s="201"/>
      <c r="X115" s="353"/>
      <c r="Y115" s="301"/>
      <c r="Z115" s="304"/>
      <c r="AA115" s="360"/>
      <c r="AB115" s="305"/>
      <c r="AC115" s="306"/>
      <c r="AD115" s="306"/>
      <c r="AE115" s="306"/>
      <c r="AF115" s="307"/>
      <c r="AG115" s="308"/>
      <c r="AH115" s="308"/>
      <c r="AI115" s="308"/>
    </row>
    <row r="116" spans="1:35" ht="5.0999999999999996" customHeight="1" x14ac:dyDescent="0.15">
      <c r="A116" s="205"/>
      <c r="B116" s="199"/>
      <c r="C116" s="199"/>
      <c r="D116" s="199"/>
      <c r="E116" s="133"/>
      <c r="F116" s="72"/>
      <c r="G116" s="97"/>
      <c r="H116" s="134"/>
      <c r="I116" s="355">
        <f>+I96+I108+I112</f>
        <v>114</v>
      </c>
      <c r="J116" s="286"/>
      <c r="K116" s="288"/>
      <c r="L116" s="199"/>
      <c r="M116" s="121"/>
      <c r="N116" s="199"/>
      <c r="O116" s="199"/>
      <c r="P116" s="324"/>
      <c r="Q116" s="118"/>
      <c r="R116" s="199"/>
      <c r="S116" s="253"/>
      <c r="T116" s="199"/>
      <c r="U116" s="121"/>
      <c r="V116" s="199"/>
      <c r="W116" s="199"/>
      <c r="X116" s="345"/>
      <c r="Y116" s="253">
        <f>+Y96+Y108+Y112</f>
        <v>2.6276249999999997</v>
      </c>
      <c r="Z116" s="302">
        <v>3</v>
      </c>
      <c r="AA116" s="225" t="s">
        <v>176</v>
      </c>
      <c r="AB116" s="305"/>
      <c r="AC116" s="341"/>
      <c r="AD116" s="306"/>
      <c r="AE116" s="306"/>
      <c r="AF116" s="307">
        <f t="shared" ref="AF116" si="82">+Y116/Z116</f>
        <v>0.87587499999999985</v>
      </c>
      <c r="AG116" s="308" t="str">
        <f t="shared" ref="AG116" si="83">+IF(AF116&lt;1,"〇","×")</f>
        <v>〇</v>
      </c>
      <c r="AH116" s="308" t="str">
        <f t="shared" ref="AH116" si="84">+IF(U116&gt;D116,"〇","×")</f>
        <v>×</v>
      </c>
      <c r="AI116" s="308" t="str">
        <f t="shared" ref="AI116" si="85">+IF(D116&gt;O116,"〇","×")</f>
        <v>×</v>
      </c>
    </row>
    <row r="117" spans="1:35" ht="5.0999999999999996" customHeight="1" x14ac:dyDescent="0.15">
      <c r="A117" s="206"/>
      <c r="B117" s="200"/>
      <c r="C117" s="200"/>
      <c r="D117" s="200"/>
      <c r="E117" s="13"/>
      <c r="F117" s="12"/>
      <c r="G117" s="96"/>
      <c r="H117" s="14"/>
      <c r="I117" s="356"/>
      <c r="J117" s="287"/>
      <c r="K117" s="289"/>
      <c r="L117" s="200"/>
      <c r="M117" s="122"/>
      <c r="N117" s="200"/>
      <c r="O117" s="200"/>
      <c r="P117" s="325"/>
      <c r="Q117" s="119"/>
      <c r="R117" s="200"/>
      <c r="S117" s="254"/>
      <c r="T117" s="200"/>
      <c r="U117" s="122"/>
      <c r="V117" s="200"/>
      <c r="W117" s="200"/>
      <c r="X117" s="346"/>
      <c r="Y117" s="327"/>
      <c r="Z117" s="303"/>
      <c r="AA117" s="226"/>
      <c r="AB117" s="305"/>
      <c r="AC117" s="306"/>
      <c r="AD117" s="306"/>
      <c r="AE117" s="306"/>
      <c r="AF117" s="307"/>
      <c r="AG117" s="308"/>
      <c r="AH117" s="308"/>
      <c r="AI117" s="308"/>
    </row>
    <row r="118" spans="1:35" ht="5.0999999999999996" customHeight="1" x14ac:dyDescent="0.15">
      <c r="A118" s="206"/>
      <c r="B118" s="200"/>
      <c r="C118" s="200"/>
      <c r="D118" s="200"/>
      <c r="E118" s="13"/>
      <c r="F118" s="12"/>
      <c r="G118" s="96"/>
      <c r="H118" s="14"/>
      <c r="I118" s="356"/>
      <c r="J118" s="309"/>
      <c r="K118" s="310"/>
      <c r="L118" s="200"/>
      <c r="M118" s="122"/>
      <c r="N118" s="200"/>
      <c r="O118" s="200"/>
      <c r="P118" s="325"/>
      <c r="Q118" s="119"/>
      <c r="R118" s="200"/>
      <c r="S118" s="254"/>
      <c r="T118" s="200"/>
      <c r="U118" s="122"/>
      <c r="V118" s="200"/>
      <c r="W118" s="200"/>
      <c r="X118" s="346"/>
      <c r="Y118" s="327"/>
      <c r="Z118" s="303"/>
      <c r="AA118" s="226"/>
      <c r="AB118" s="305"/>
      <c r="AC118" s="306"/>
      <c r="AD118" s="306"/>
      <c r="AE118" s="306"/>
      <c r="AF118" s="307"/>
      <c r="AG118" s="308"/>
      <c r="AH118" s="308"/>
      <c r="AI118" s="308"/>
    </row>
    <row r="119" spans="1:35" ht="5.0999999999999996" customHeight="1" x14ac:dyDescent="0.15">
      <c r="A119" s="207"/>
      <c r="B119" s="201"/>
      <c r="C119" s="201"/>
      <c r="D119" s="201"/>
      <c r="E119" s="13"/>
      <c r="F119" s="12"/>
      <c r="G119" s="96"/>
      <c r="H119" s="14"/>
      <c r="I119" s="357"/>
      <c r="J119" s="311"/>
      <c r="K119" s="312"/>
      <c r="L119" s="201"/>
      <c r="M119" s="123"/>
      <c r="N119" s="201"/>
      <c r="O119" s="201"/>
      <c r="P119" s="326"/>
      <c r="Q119" s="120"/>
      <c r="R119" s="201"/>
      <c r="S119" s="255"/>
      <c r="T119" s="201"/>
      <c r="U119" s="123"/>
      <c r="V119" s="201"/>
      <c r="W119" s="201"/>
      <c r="X119" s="347"/>
      <c r="Y119" s="255"/>
      <c r="Z119" s="304"/>
      <c r="AA119" s="227"/>
      <c r="AB119" s="305"/>
      <c r="AC119" s="306"/>
      <c r="AD119" s="306"/>
      <c r="AE119" s="306"/>
      <c r="AF119" s="307"/>
      <c r="AG119" s="308"/>
      <c r="AH119" s="308"/>
      <c r="AI119" s="308"/>
    </row>
    <row r="120" spans="1:35" ht="5.0999999999999996" customHeight="1" x14ac:dyDescent="0.15">
      <c r="A120" s="205"/>
      <c r="B120" s="199"/>
      <c r="C120" s="199"/>
      <c r="D120" s="199"/>
      <c r="E120" s="133"/>
      <c r="F120" s="72"/>
      <c r="G120" s="97"/>
      <c r="H120" s="134"/>
      <c r="I120" s="253">
        <f>6.5+5.5</f>
        <v>12</v>
      </c>
      <c r="J120" s="286"/>
      <c r="K120" s="288"/>
      <c r="L120" s="199" t="s">
        <v>183</v>
      </c>
      <c r="M120" s="253">
        <v>1.5</v>
      </c>
      <c r="N120" s="199">
        <v>20</v>
      </c>
      <c r="O120" s="290">
        <f>+M120/0.2</f>
        <v>7.5</v>
      </c>
      <c r="P120" s="324" t="s">
        <v>186</v>
      </c>
      <c r="Q120" s="278">
        <v>5.5</v>
      </c>
      <c r="R120" s="199" t="s">
        <v>187</v>
      </c>
      <c r="S120" s="302">
        <v>37</v>
      </c>
      <c r="T120" s="199">
        <v>1</v>
      </c>
      <c r="U120" s="199">
        <f t="shared" ref="U120" si="86">+IF(T120="","-",T120*S120)</f>
        <v>37</v>
      </c>
      <c r="V120" s="199">
        <v>1</v>
      </c>
      <c r="W120" s="199">
        <v>0.95</v>
      </c>
      <c r="X120" s="351">
        <v>3.96</v>
      </c>
      <c r="Y120" s="299">
        <f>+V120*O120*I120*X120/1000</f>
        <v>0.35639999999999999</v>
      </c>
      <c r="Z120" s="302">
        <f>+IF(I120&lt;120,3,IF(I120&lt;200,4,5))</f>
        <v>3</v>
      </c>
      <c r="AA120" s="358">
        <v>3</v>
      </c>
      <c r="AB120" s="305"/>
      <c r="AC120" s="341"/>
      <c r="AD120" s="306"/>
      <c r="AE120" s="306"/>
      <c r="AF120" s="307">
        <f t="shared" ref="AF120" si="87">+Y120/Z120</f>
        <v>0.1188</v>
      </c>
      <c r="AG120" s="308" t="str">
        <f t="shared" ref="AG120" si="88">+IF(AF120&lt;1,"〇","×")</f>
        <v>〇</v>
      </c>
      <c r="AH120" s="308" t="str">
        <f t="shared" ref="AH120" si="89">+IF(U120&gt;D120,"〇","×")</f>
        <v>〇</v>
      </c>
      <c r="AI120" s="308" t="str">
        <f t="shared" ref="AI120" si="90">+IF(D120&gt;O120,"〇","×")</f>
        <v>×</v>
      </c>
    </row>
    <row r="121" spans="1:35" ht="5.0999999999999996" customHeight="1" thickBot="1" x14ac:dyDescent="0.2">
      <c r="A121" s="206"/>
      <c r="B121" s="200"/>
      <c r="C121" s="200"/>
      <c r="D121" s="200"/>
      <c r="E121" s="13"/>
      <c r="F121" s="12"/>
      <c r="G121" s="98"/>
      <c r="H121" s="99"/>
      <c r="I121" s="254"/>
      <c r="J121" s="287"/>
      <c r="K121" s="289"/>
      <c r="L121" s="200"/>
      <c r="M121" s="254"/>
      <c r="N121" s="200"/>
      <c r="O121" s="291"/>
      <c r="P121" s="325"/>
      <c r="Q121" s="279"/>
      <c r="R121" s="200"/>
      <c r="S121" s="354"/>
      <c r="T121" s="200"/>
      <c r="U121" s="200"/>
      <c r="V121" s="200"/>
      <c r="W121" s="200"/>
      <c r="X121" s="352"/>
      <c r="Y121" s="300"/>
      <c r="Z121" s="303"/>
      <c r="AA121" s="359"/>
      <c r="AB121" s="305"/>
      <c r="AC121" s="306"/>
      <c r="AD121" s="306"/>
      <c r="AE121" s="306"/>
      <c r="AF121" s="307"/>
      <c r="AG121" s="308"/>
      <c r="AH121" s="308"/>
      <c r="AI121" s="308"/>
    </row>
    <row r="122" spans="1:35" ht="5.0999999999999996" customHeight="1" x14ac:dyDescent="0.15">
      <c r="A122" s="206"/>
      <c r="B122" s="200"/>
      <c r="C122" s="200"/>
      <c r="D122" s="200"/>
      <c r="E122" s="13"/>
      <c r="F122" s="12"/>
      <c r="G122" s="12"/>
      <c r="H122" s="14"/>
      <c r="I122" s="254"/>
      <c r="J122" s="309"/>
      <c r="K122" s="310"/>
      <c r="L122" s="200"/>
      <c r="M122" s="254"/>
      <c r="N122" s="200"/>
      <c r="O122" s="291"/>
      <c r="P122" s="325"/>
      <c r="Q122" s="279"/>
      <c r="R122" s="200"/>
      <c r="S122" s="354"/>
      <c r="T122" s="200"/>
      <c r="U122" s="200"/>
      <c r="V122" s="200"/>
      <c r="W122" s="200"/>
      <c r="X122" s="352"/>
      <c r="Y122" s="300"/>
      <c r="Z122" s="303"/>
      <c r="AA122" s="359"/>
      <c r="AB122" s="305"/>
      <c r="AC122" s="306"/>
      <c r="AD122" s="306"/>
      <c r="AE122" s="306"/>
      <c r="AF122" s="307"/>
      <c r="AG122" s="308"/>
      <c r="AH122" s="308"/>
      <c r="AI122" s="308"/>
    </row>
    <row r="123" spans="1:35" ht="5.0999999999999996" customHeight="1" x14ac:dyDescent="0.15">
      <c r="A123" s="207"/>
      <c r="B123" s="201"/>
      <c r="C123" s="201"/>
      <c r="D123" s="201"/>
      <c r="E123" s="13"/>
      <c r="F123" s="12"/>
      <c r="G123" s="12"/>
      <c r="H123" s="14"/>
      <c r="I123" s="255"/>
      <c r="J123" s="311"/>
      <c r="K123" s="312"/>
      <c r="L123" s="201"/>
      <c r="M123" s="255"/>
      <c r="N123" s="201"/>
      <c r="O123" s="292"/>
      <c r="P123" s="326"/>
      <c r="Q123" s="280"/>
      <c r="R123" s="201"/>
      <c r="S123" s="304"/>
      <c r="T123" s="201"/>
      <c r="U123" s="201"/>
      <c r="V123" s="201"/>
      <c r="W123" s="201"/>
      <c r="X123" s="353"/>
      <c r="Y123" s="301"/>
      <c r="Z123" s="304"/>
      <c r="AA123" s="360"/>
      <c r="AB123" s="305"/>
      <c r="AC123" s="306"/>
      <c r="AD123" s="306"/>
      <c r="AE123" s="306"/>
      <c r="AF123" s="307"/>
      <c r="AG123" s="308"/>
      <c r="AH123" s="308"/>
      <c r="AI123" s="308"/>
    </row>
    <row r="124" spans="1:35" ht="5.0999999999999996" customHeight="1" x14ac:dyDescent="0.15">
      <c r="A124" s="205"/>
      <c r="B124" s="199"/>
      <c r="C124" s="199"/>
      <c r="D124" s="199"/>
      <c r="E124" s="133"/>
      <c r="F124" s="72"/>
      <c r="G124" s="72"/>
      <c r="H124" s="134"/>
      <c r="I124" s="355">
        <f>+I96+I108+I120</f>
        <v>120.5</v>
      </c>
      <c r="J124" s="286"/>
      <c r="K124" s="288"/>
      <c r="L124" s="199"/>
      <c r="M124" s="121"/>
      <c r="N124" s="199"/>
      <c r="O124" s="199"/>
      <c r="P124" s="324"/>
      <c r="Q124" s="118"/>
      <c r="R124" s="199"/>
      <c r="S124" s="253"/>
      <c r="T124" s="199"/>
      <c r="U124" s="121"/>
      <c r="V124" s="199"/>
      <c r="W124" s="199"/>
      <c r="X124" s="345"/>
      <c r="Y124" s="302">
        <f>+Y96+Y108+Y120</f>
        <v>2.8206749999999996</v>
      </c>
      <c r="Z124" s="302">
        <f>+IF(I124&lt;120,3,IF(I124&lt;200,4,5))</f>
        <v>4</v>
      </c>
      <c r="AA124" s="225" t="s">
        <v>178</v>
      </c>
      <c r="AB124" s="305"/>
      <c r="AC124" s="306"/>
      <c r="AD124" s="306"/>
      <c r="AE124" s="306"/>
      <c r="AG124" s="9"/>
    </row>
    <row r="125" spans="1:35" ht="5.0999999999999996" customHeight="1" x14ac:dyDescent="0.15">
      <c r="A125" s="206"/>
      <c r="B125" s="200"/>
      <c r="C125" s="200"/>
      <c r="D125" s="200"/>
      <c r="E125" s="13"/>
      <c r="F125" s="12"/>
      <c r="G125" s="12"/>
      <c r="H125" s="14"/>
      <c r="I125" s="361"/>
      <c r="J125" s="287"/>
      <c r="K125" s="289"/>
      <c r="L125" s="200"/>
      <c r="M125" s="122"/>
      <c r="N125" s="200"/>
      <c r="O125" s="200"/>
      <c r="P125" s="325"/>
      <c r="Q125" s="119"/>
      <c r="R125" s="200"/>
      <c r="S125" s="254"/>
      <c r="T125" s="200"/>
      <c r="U125" s="122"/>
      <c r="V125" s="200"/>
      <c r="W125" s="200"/>
      <c r="X125" s="346"/>
      <c r="Y125" s="303"/>
      <c r="Z125" s="303"/>
      <c r="AA125" s="226"/>
      <c r="AB125" s="305"/>
      <c r="AC125" s="306"/>
      <c r="AD125" s="306"/>
      <c r="AE125" s="306"/>
      <c r="AG125" s="9"/>
    </row>
    <row r="126" spans="1:35" ht="5.0999999999999996" customHeight="1" x14ac:dyDescent="0.15">
      <c r="A126" s="206"/>
      <c r="B126" s="200"/>
      <c r="C126" s="200"/>
      <c r="D126" s="200"/>
      <c r="E126" s="13"/>
      <c r="F126" s="12"/>
      <c r="G126" s="12"/>
      <c r="H126" s="14"/>
      <c r="I126" s="361"/>
      <c r="J126" s="309"/>
      <c r="K126" s="310"/>
      <c r="L126" s="200"/>
      <c r="M126" s="122"/>
      <c r="N126" s="200"/>
      <c r="O126" s="200"/>
      <c r="P126" s="325"/>
      <c r="Q126" s="119"/>
      <c r="R126" s="200"/>
      <c r="S126" s="254"/>
      <c r="T126" s="200"/>
      <c r="U126" s="122"/>
      <c r="V126" s="200"/>
      <c r="W126" s="200"/>
      <c r="X126" s="346"/>
      <c r="Y126" s="303"/>
      <c r="Z126" s="303"/>
      <c r="AA126" s="226"/>
      <c r="AB126" s="305"/>
      <c r="AC126" s="306"/>
      <c r="AD126" s="306"/>
      <c r="AE126" s="306"/>
      <c r="AG126" s="9"/>
    </row>
    <row r="127" spans="1:35" ht="5.0999999999999996" customHeight="1" x14ac:dyDescent="0.15">
      <c r="A127" s="207"/>
      <c r="B127" s="201"/>
      <c r="C127" s="201"/>
      <c r="D127" s="201"/>
      <c r="E127" s="13"/>
      <c r="F127" s="12"/>
      <c r="G127" s="12"/>
      <c r="H127" s="14"/>
      <c r="I127" s="362"/>
      <c r="J127" s="311"/>
      <c r="K127" s="312"/>
      <c r="L127" s="201"/>
      <c r="M127" s="123"/>
      <c r="N127" s="201"/>
      <c r="O127" s="201"/>
      <c r="P127" s="326"/>
      <c r="Q127" s="120"/>
      <c r="R127" s="201"/>
      <c r="S127" s="255"/>
      <c r="T127" s="201"/>
      <c r="U127" s="123"/>
      <c r="V127" s="201"/>
      <c r="W127" s="201"/>
      <c r="X127" s="347"/>
      <c r="Y127" s="304"/>
      <c r="Z127" s="304"/>
      <c r="AA127" s="227"/>
      <c r="AB127" s="305"/>
      <c r="AC127" s="306"/>
      <c r="AD127" s="306"/>
      <c r="AE127" s="306"/>
      <c r="AG127" s="9"/>
    </row>
    <row r="128" spans="1:35" s="27" customFormat="1" ht="13.5" customHeight="1" x14ac:dyDescent="0.15">
      <c r="A128" s="23" t="s">
        <v>68</v>
      </c>
      <c r="B128" s="24"/>
      <c r="C128" s="25"/>
      <c r="D128" s="25" t="s">
        <v>10</v>
      </c>
      <c r="E128" s="52" t="s">
        <v>43</v>
      </c>
      <c r="F128" s="26"/>
      <c r="G128" s="26"/>
      <c r="H128" s="26"/>
      <c r="I128" s="26"/>
      <c r="J128" s="26"/>
      <c r="K128" s="30"/>
      <c r="L128" s="30"/>
      <c r="M128" s="26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30"/>
      <c r="AA128" s="115"/>
      <c r="AB128" s="7"/>
      <c r="AC128" s="7"/>
      <c r="AD128" s="7"/>
    </row>
    <row r="129" spans="1:35" s="27" customFormat="1" ht="13.5" customHeight="1" x14ac:dyDescent="0.15">
      <c r="A129" s="28"/>
      <c r="B129" s="7"/>
      <c r="C129" s="29"/>
      <c r="D129" s="29"/>
      <c r="E129" s="111" t="s">
        <v>42</v>
      </c>
      <c r="F129" s="7"/>
      <c r="G129" s="7"/>
      <c r="H129" s="7"/>
      <c r="I129" s="7"/>
      <c r="J129" s="7"/>
      <c r="K129" s="7"/>
      <c r="L129" s="7"/>
      <c r="M129" s="7"/>
      <c r="N129" s="29"/>
      <c r="O129" s="29"/>
      <c r="P129" s="29"/>
      <c r="Q129" s="29"/>
      <c r="R129" s="29"/>
      <c r="S129" s="29"/>
      <c r="T129" s="29"/>
      <c r="U129" s="363" t="s">
        <v>69</v>
      </c>
      <c r="V129" s="364"/>
      <c r="W129" s="364"/>
      <c r="X129" s="364"/>
      <c r="Y129" s="364"/>
      <c r="Z129" s="29"/>
      <c r="AA129" s="112"/>
      <c r="AB129" s="7"/>
      <c r="AC129" s="7"/>
      <c r="AD129" s="7"/>
    </row>
    <row r="130" spans="1:35" s="27" customFormat="1" ht="13.5" customHeight="1" x14ac:dyDescent="0.15">
      <c r="A130" s="28"/>
      <c r="B130" s="29"/>
      <c r="C130" s="29"/>
      <c r="D130" s="29"/>
      <c r="E130" s="111" t="s">
        <v>60</v>
      </c>
      <c r="F130" s="7"/>
      <c r="G130" s="7"/>
      <c r="H130" s="7"/>
      <c r="I130" s="7"/>
      <c r="J130" s="7"/>
      <c r="K130" s="7"/>
      <c r="L130" s="7"/>
      <c r="M130" s="7"/>
      <c r="N130" s="29"/>
      <c r="O130" s="29"/>
      <c r="P130" s="29"/>
      <c r="Q130" s="29"/>
      <c r="R130" s="29"/>
      <c r="S130" s="29"/>
      <c r="T130" s="29"/>
      <c r="U130" s="364"/>
      <c r="V130" s="364"/>
      <c r="W130" s="364"/>
      <c r="X130" s="364"/>
      <c r="Y130" s="364"/>
      <c r="Z130" s="29"/>
      <c r="AA130" s="112"/>
      <c r="AB130" s="7"/>
      <c r="AC130" s="7"/>
      <c r="AD130" s="7"/>
    </row>
    <row r="131" spans="1:35" s="27" customFormat="1" ht="13.5" customHeight="1" x14ac:dyDescent="0.15">
      <c r="A131" s="28"/>
      <c r="B131" s="29"/>
      <c r="C131" s="29"/>
      <c r="D131" s="29"/>
      <c r="E131" s="7" t="s">
        <v>44</v>
      </c>
      <c r="F131" s="7"/>
      <c r="G131" s="7"/>
      <c r="H131" s="7"/>
      <c r="I131" s="7"/>
      <c r="J131" s="7"/>
      <c r="K131" s="7"/>
      <c r="L131" s="7"/>
      <c r="M131" s="7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AA131" s="116"/>
      <c r="AB131" s="7"/>
      <c r="AC131" s="7"/>
      <c r="AD131" s="7"/>
    </row>
    <row r="132" spans="1:35" ht="13.5" customHeight="1" x14ac:dyDescent="0.15">
      <c r="A132" s="46"/>
      <c r="E132" s="111" t="s">
        <v>45</v>
      </c>
      <c r="M132" s="7"/>
      <c r="O132" s="9"/>
      <c r="AA132" s="47"/>
      <c r="AE132" s="7"/>
    </row>
    <row r="133" spans="1:35" ht="11.25" customHeight="1" x14ac:dyDescent="0.15">
      <c r="A133" s="46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AA133" s="47"/>
      <c r="AE133" s="7"/>
    </row>
    <row r="134" spans="1:35" ht="11.25" customHeight="1" x14ac:dyDescent="0.15">
      <c r="A134" s="85" t="s">
        <v>70</v>
      </c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AA134" s="47"/>
      <c r="AE134" s="7"/>
    </row>
    <row r="135" spans="1:35" ht="11.25" customHeight="1" x14ac:dyDescent="0.15">
      <c r="A135" s="46" t="s">
        <v>71</v>
      </c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AA135" s="47"/>
      <c r="AE135" s="7"/>
    </row>
    <row r="136" spans="1:35" x14ac:dyDescent="0.15">
      <c r="A136" s="46" t="s">
        <v>72</v>
      </c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AA136" s="47"/>
      <c r="AE136" s="7"/>
    </row>
    <row r="137" spans="1:35" ht="12" thickBot="1" x14ac:dyDescent="0.2">
      <c r="A137" s="20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22"/>
      <c r="AE137" s="7"/>
    </row>
    <row r="138" spans="1:35" ht="15" customHeight="1" x14ac:dyDescent="0.15">
      <c r="A138" s="84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4"/>
      <c r="R138" s="84"/>
      <c r="S138" s="84"/>
      <c r="T138" s="84"/>
      <c r="U138" s="84"/>
      <c r="V138" s="84"/>
      <c r="W138" s="84"/>
      <c r="X138" s="84"/>
      <c r="Y138" s="87"/>
      <c r="Z138" s="87"/>
      <c r="AA138" s="87" t="s">
        <v>127</v>
      </c>
      <c r="AE138" s="7"/>
    </row>
    <row r="139" spans="1:35" s="12" customFormat="1" ht="5.0999999999999996" customHeight="1" x14ac:dyDescent="0.15">
      <c r="A139" s="205" t="s">
        <v>130</v>
      </c>
      <c r="B139" s="199"/>
      <c r="C139" s="199"/>
      <c r="D139" s="199"/>
      <c r="E139" s="133"/>
      <c r="F139" s="72"/>
      <c r="G139" s="72"/>
      <c r="H139" s="134"/>
      <c r="I139" s="283"/>
      <c r="J139" s="286"/>
      <c r="K139" s="288"/>
      <c r="L139" s="199"/>
      <c r="M139" s="253"/>
      <c r="N139" s="253"/>
      <c r="O139" s="290"/>
      <c r="P139" s="240"/>
      <c r="Q139" s="131"/>
      <c r="R139" s="199"/>
      <c r="S139" s="293"/>
      <c r="T139" s="199"/>
      <c r="U139" s="124"/>
      <c r="V139" s="199"/>
      <c r="W139" s="199"/>
      <c r="X139" s="296"/>
      <c r="Y139" s="299"/>
      <c r="Z139" s="302"/>
      <c r="AA139" s="225"/>
      <c r="AB139" s="305"/>
      <c r="AC139" s="306"/>
      <c r="AD139" s="306"/>
      <c r="AE139" s="307" t="e">
        <f>+W139/X139</f>
        <v>#DIV/0!</v>
      </c>
      <c r="AF139" s="308" t="e">
        <f>+IF(AE139&lt;0.8,"〇","×")</f>
        <v>#DIV/0!</v>
      </c>
      <c r="AG139" s="308" t="str">
        <f>+IF(T139&gt;D139,"〇","×")</f>
        <v>×</v>
      </c>
      <c r="AH139" s="308" t="str">
        <f>+IF(D139&gt;N139,"〇","×")</f>
        <v>×</v>
      </c>
    </row>
    <row r="140" spans="1:35" s="12" customFormat="1" ht="5.0999999999999996" customHeight="1" x14ac:dyDescent="0.15">
      <c r="A140" s="206"/>
      <c r="B140" s="200"/>
      <c r="C140" s="200"/>
      <c r="D140" s="200"/>
      <c r="E140" s="13"/>
      <c r="H140" s="14"/>
      <c r="I140" s="284"/>
      <c r="J140" s="287"/>
      <c r="K140" s="289"/>
      <c r="L140" s="200"/>
      <c r="M140" s="254"/>
      <c r="N140" s="200"/>
      <c r="O140" s="291"/>
      <c r="P140" s="244"/>
      <c r="Q140" s="117"/>
      <c r="R140" s="200"/>
      <c r="S140" s="294"/>
      <c r="T140" s="200"/>
      <c r="U140" s="125"/>
      <c r="V140" s="200"/>
      <c r="W140" s="200"/>
      <c r="X140" s="297"/>
      <c r="Y140" s="300"/>
      <c r="Z140" s="303"/>
      <c r="AA140" s="226"/>
      <c r="AB140" s="305"/>
      <c r="AC140" s="306"/>
      <c r="AD140" s="306"/>
      <c r="AE140" s="307"/>
      <c r="AF140" s="308"/>
      <c r="AG140" s="308"/>
      <c r="AH140" s="308"/>
    </row>
    <row r="141" spans="1:35" s="12" customFormat="1" ht="5.0999999999999996" customHeight="1" x14ac:dyDescent="0.15">
      <c r="A141" s="206"/>
      <c r="B141" s="200"/>
      <c r="C141" s="200"/>
      <c r="D141" s="200"/>
      <c r="E141" s="13"/>
      <c r="H141" s="14"/>
      <c r="I141" s="284"/>
      <c r="J141" s="309"/>
      <c r="K141" s="310"/>
      <c r="L141" s="200"/>
      <c r="M141" s="254"/>
      <c r="N141" s="200"/>
      <c r="O141" s="291"/>
      <c r="P141" s="244"/>
      <c r="Q141" s="117"/>
      <c r="R141" s="200"/>
      <c r="S141" s="294"/>
      <c r="T141" s="200"/>
      <c r="U141" s="125"/>
      <c r="V141" s="200"/>
      <c r="W141" s="200"/>
      <c r="X141" s="297"/>
      <c r="Y141" s="300"/>
      <c r="Z141" s="303"/>
      <c r="AA141" s="226"/>
      <c r="AB141" s="305"/>
      <c r="AC141" s="306"/>
      <c r="AD141" s="306"/>
      <c r="AE141" s="307"/>
      <c r="AF141" s="308"/>
      <c r="AG141" s="308"/>
      <c r="AH141" s="308"/>
    </row>
    <row r="142" spans="1:35" s="12" customFormat="1" ht="5.0999999999999996" customHeight="1" x14ac:dyDescent="0.15">
      <c r="A142" s="207"/>
      <c r="B142" s="201"/>
      <c r="C142" s="201"/>
      <c r="D142" s="200"/>
      <c r="E142" s="13"/>
      <c r="H142" s="14"/>
      <c r="I142" s="285"/>
      <c r="J142" s="311"/>
      <c r="K142" s="312"/>
      <c r="L142" s="201"/>
      <c r="M142" s="255"/>
      <c r="N142" s="201"/>
      <c r="O142" s="292"/>
      <c r="P142" s="242"/>
      <c r="Q142" s="132"/>
      <c r="R142" s="201"/>
      <c r="S142" s="295"/>
      <c r="T142" s="201"/>
      <c r="U142" s="126"/>
      <c r="V142" s="201"/>
      <c r="W142" s="201"/>
      <c r="X142" s="298"/>
      <c r="Y142" s="301"/>
      <c r="Z142" s="304"/>
      <c r="AA142" s="227"/>
      <c r="AB142" s="305"/>
      <c r="AC142" s="306"/>
      <c r="AD142" s="306"/>
      <c r="AE142" s="307"/>
      <c r="AF142" s="308"/>
      <c r="AG142" s="308"/>
      <c r="AH142" s="308"/>
    </row>
    <row r="143" spans="1:35" ht="5.0999999999999996" customHeight="1" x14ac:dyDescent="0.15">
      <c r="A143" s="205" t="s">
        <v>191</v>
      </c>
      <c r="B143" s="199" t="s">
        <v>131</v>
      </c>
      <c r="C143" s="199">
        <v>200</v>
      </c>
      <c r="D143" s="199">
        <v>150</v>
      </c>
      <c r="E143" s="133"/>
      <c r="F143" s="72"/>
      <c r="G143" s="72"/>
      <c r="H143" s="134"/>
      <c r="I143" s="283">
        <v>63</v>
      </c>
      <c r="J143" s="286"/>
      <c r="K143" s="288"/>
      <c r="L143" s="199" t="s">
        <v>90</v>
      </c>
      <c r="M143" s="342">
        <v>25.9</v>
      </c>
      <c r="N143" s="199">
        <f>+D143</f>
        <v>150</v>
      </c>
      <c r="O143" s="290">
        <f t="shared" ref="O143" si="91">+M143*4</f>
        <v>103.6</v>
      </c>
      <c r="P143" s="240" t="s">
        <v>143</v>
      </c>
      <c r="Q143" s="278">
        <v>60</v>
      </c>
      <c r="R143" s="199" t="s">
        <v>113</v>
      </c>
      <c r="S143" s="293">
        <f>+IF($B$31=50,ROUND(VLOOKUP(Q143,$A$4:$C$14,3,FALSE),1),ROUND(VLOOKUP(Q143,$I$4:$K$14,3,FALSE),1))</f>
        <v>210</v>
      </c>
      <c r="T143" s="199">
        <v>0.7</v>
      </c>
      <c r="U143" s="199">
        <f t="shared" ref="U143" si="92">+IF(T143="","-",T143*S143)</f>
        <v>147</v>
      </c>
      <c r="V143" s="199">
        <v>1.732</v>
      </c>
      <c r="W143" s="199">
        <v>0.8</v>
      </c>
      <c r="X143" s="296">
        <f>+IF($B$31=50,VLOOKUP(Q143,$A$16:$C$26,2,FALSE),VLOOKUP(Q143,$I$16:$K$26,2,FALSE))</f>
        <v>0.38400000000000001</v>
      </c>
      <c r="Y143" s="299">
        <f>+V143*O143*I143*X143/1000</f>
        <v>4.3408963583999993</v>
      </c>
      <c r="Z143" s="302">
        <f>+IF(I143&lt;120,6,IF(I143&lt;200,8,10))</f>
        <v>6</v>
      </c>
      <c r="AA143" s="225" t="s">
        <v>188</v>
      </c>
      <c r="AB143" s="305"/>
      <c r="AC143" s="341"/>
      <c r="AD143" s="306"/>
      <c r="AE143" s="306"/>
      <c r="AF143" s="307">
        <f>+Y143/Z143</f>
        <v>0.72348272639999989</v>
      </c>
      <c r="AG143" s="308" t="str">
        <f t="shared" ref="AG143" si="93">+IF(AF143&lt;1,"〇","×")</f>
        <v>〇</v>
      </c>
      <c r="AH143" s="308" t="str">
        <f t="shared" ref="AH143" si="94">+IF(U143&gt;D143,"〇","×")</f>
        <v>×</v>
      </c>
      <c r="AI143" s="308" t="str">
        <f>+IF(D143&gt;O143,"〇","×")</f>
        <v>〇</v>
      </c>
    </row>
    <row r="144" spans="1:35" ht="5.0999999999999996" customHeight="1" thickBot="1" x14ac:dyDescent="0.2">
      <c r="A144" s="206"/>
      <c r="B144" s="200"/>
      <c r="C144" s="200"/>
      <c r="D144" s="200"/>
      <c r="E144" s="13"/>
      <c r="F144" s="12"/>
      <c r="G144" s="12"/>
      <c r="H144" s="14"/>
      <c r="I144" s="284"/>
      <c r="J144" s="287"/>
      <c r="K144" s="289"/>
      <c r="L144" s="200"/>
      <c r="M144" s="343"/>
      <c r="N144" s="200"/>
      <c r="O144" s="291"/>
      <c r="P144" s="244"/>
      <c r="Q144" s="279"/>
      <c r="R144" s="200"/>
      <c r="S144" s="294"/>
      <c r="T144" s="200"/>
      <c r="U144" s="200"/>
      <c r="V144" s="200"/>
      <c r="W144" s="200"/>
      <c r="X144" s="297"/>
      <c r="Y144" s="300"/>
      <c r="Z144" s="303"/>
      <c r="AA144" s="226"/>
      <c r="AB144" s="305"/>
      <c r="AC144" s="306"/>
      <c r="AD144" s="306"/>
      <c r="AE144" s="306"/>
      <c r="AF144" s="307"/>
      <c r="AG144" s="308"/>
      <c r="AH144" s="308"/>
      <c r="AI144" s="308"/>
    </row>
    <row r="145" spans="1:35" ht="5.0999999999999996" customHeight="1" x14ac:dyDescent="0.15">
      <c r="A145" s="206"/>
      <c r="B145" s="200"/>
      <c r="C145" s="200"/>
      <c r="D145" s="200"/>
      <c r="E145" s="77"/>
      <c r="F145" s="78"/>
      <c r="G145" s="78"/>
      <c r="H145" s="79"/>
      <c r="I145" s="284"/>
      <c r="J145" s="309"/>
      <c r="K145" s="310"/>
      <c r="L145" s="200"/>
      <c r="M145" s="343"/>
      <c r="N145" s="200"/>
      <c r="O145" s="291"/>
      <c r="P145" s="244"/>
      <c r="Q145" s="279"/>
      <c r="R145" s="200"/>
      <c r="S145" s="294"/>
      <c r="T145" s="200"/>
      <c r="U145" s="200"/>
      <c r="V145" s="200"/>
      <c r="W145" s="200"/>
      <c r="X145" s="297"/>
      <c r="Y145" s="300"/>
      <c r="Z145" s="303"/>
      <c r="AA145" s="226"/>
      <c r="AB145" s="305"/>
      <c r="AC145" s="306"/>
      <c r="AD145" s="306"/>
      <c r="AE145" s="306"/>
      <c r="AF145" s="307"/>
      <c r="AG145" s="308"/>
      <c r="AH145" s="308"/>
      <c r="AI145" s="308"/>
    </row>
    <row r="146" spans="1:35" ht="5.0999999999999996" customHeight="1" x14ac:dyDescent="0.15">
      <c r="A146" s="207"/>
      <c r="B146" s="201"/>
      <c r="C146" s="201"/>
      <c r="D146" s="200"/>
      <c r="E146" s="13"/>
      <c r="F146" s="12"/>
      <c r="G146" s="74"/>
      <c r="H146" s="75"/>
      <c r="I146" s="285"/>
      <c r="J146" s="311"/>
      <c r="K146" s="312"/>
      <c r="L146" s="201"/>
      <c r="M146" s="344"/>
      <c r="N146" s="201"/>
      <c r="O146" s="292"/>
      <c r="P146" s="242"/>
      <c r="Q146" s="280"/>
      <c r="R146" s="201"/>
      <c r="S146" s="295"/>
      <c r="T146" s="201"/>
      <c r="U146" s="201"/>
      <c r="V146" s="201"/>
      <c r="W146" s="201"/>
      <c r="X146" s="298"/>
      <c r="Y146" s="301"/>
      <c r="Z146" s="304"/>
      <c r="AA146" s="227"/>
      <c r="AB146" s="305"/>
      <c r="AC146" s="306"/>
      <c r="AD146" s="306"/>
      <c r="AE146" s="306"/>
      <c r="AF146" s="307"/>
      <c r="AG146" s="308"/>
      <c r="AH146" s="308"/>
      <c r="AI146" s="308"/>
    </row>
    <row r="147" spans="1:35" ht="5.0999999999999996" customHeight="1" x14ac:dyDescent="0.15">
      <c r="A147" s="205" t="s">
        <v>192</v>
      </c>
      <c r="B147" s="199" t="s">
        <v>131</v>
      </c>
      <c r="C147" s="199">
        <v>200</v>
      </c>
      <c r="D147" s="199">
        <v>150</v>
      </c>
      <c r="E147" s="133"/>
      <c r="F147" s="72"/>
      <c r="G147" s="72"/>
      <c r="H147" s="134"/>
      <c r="I147" s="283">
        <v>120</v>
      </c>
      <c r="J147" s="286"/>
      <c r="K147" s="288"/>
      <c r="L147" s="199" t="s">
        <v>91</v>
      </c>
      <c r="M147" s="342">
        <v>25.9</v>
      </c>
      <c r="N147" s="199">
        <f>+D147</f>
        <v>150</v>
      </c>
      <c r="O147" s="290">
        <f>+M147*4</f>
        <v>103.6</v>
      </c>
      <c r="P147" s="240" t="s">
        <v>143</v>
      </c>
      <c r="Q147" s="278">
        <v>100</v>
      </c>
      <c r="R147" s="199" t="s">
        <v>113</v>
      </c>
      <c r="S147" s="293">
        <f t="shared" ref="S147" si="95">+IF($B$31=50,ROUND(VLOOKUP(Q147,$A$4:$C$14,3,FALSE),1),ROUND(VLOOKUP(Q147,$I$4:$K$14,3,FALSE),1))</f>
        <v>290</v>
      </c>
      <c r="T147" s="199">
        <v>0.7</v>
      </c>
      <c r="U147" s="199">
        <f t="shared" ref="U147" si="96">+IF(T147="","-",T147*S147)</f>
        <v>203</v>
      </c>
      <c r="V147" s="199">
        <v>1.732</v>
      </c>
      <c r="W147" s="199">
        <v>0.8</v>
      </c>
      <c r="X147" s="296">
        <f t="shared" ref="X147" si="97">+IF($B$31=50,VLOOKUP(Q147,$A$16:$C$26,2,FALSE),VLOOKUP(Q147,$I$16:$K$26,2,FALSE))</f>
        <v>0.255</v>
      </c>
      <c r="Y147" s="299">
        <f t="shared" ref="Y147" si="98">+V147*O147*I147*X147/1000</f>
        <v>5.4907171199999993</v>
      </c>
      <c r="Z147" s="302">
        <f t="shared" ref="Z147" si="99">+IF(I147&lt;120,6,IF(I147&lt;200,8,10))</f>
        <v>8</v>
      </c>
      <c r="AA147" s="225" t="s">
        <v>188</v>
      </c>
      <c r="AB147" s="305"/>
      <c r="AC147" s="341"/>
      <c r="AD147" s="306"/>
      <c r="AE147" s="306"/>
      <c r="AF147" s="307">
        <f>+Y147/Z147</f>
        <v>0.68633963999999992</v>
      </c>
      <c r="AG147" s="308" t="str">
        <f t="shared" ref="AG147" si="100">+IF(AF147&lt;1,"〇","×")</f>
        <v>〇</v>
      </c>
      <c r="AH147" s="308" t="str">
        <f t="shared" ref="AH147" si="101">+IF(U147&gt;D147,"〇","×")</f>
        <v>〇</v>
      </c>
      <c r="AI147" s="308" t="str">
        <f>+IF(D147&gt;O147,"〇","×")</f>
        <v>〇</v>
      </c>
    </row>
    <row r="148" spans="1:35" ht="5.0999999999999996" customHeight="1" thickBot="1" x14ac:dyDescent="0.2">
      <c r="A148" s="206"/>
      <c r="B148" s="200"/>
      <c r="C148" s="200"/>
      <c r="D148" s="200"/>
      <c r="E148" s="13"/>
      <c r="F148" s="12"/>
      <c r="G148" s="12"/>
      <c r="H148" s="14"/>
      <c r="I148" s="284"/>
      <c r="J148" s="287"/>
      <c r="K148" s="289"/>
      <c r="L148" s="200"/>
      <c r="M148" s="343"/>
      <c r="N148" s="200"/>
      <c r="O148" s="291"/>
      <c r="P148" s="244"/>
      <c r="Q148" s="279"/>
      <c r="R148" s="200"/>
      <c r="S148" s="294"/>
      <c r="T148" s="200"/>
      <c r="U148" s="200"/>
      <c r="V148" s="200"/>
      <c r="W148" s="200"/>
      <c r="X148" s="297"/>
      <c r="Y148" s="300"/>
      <c r="Z148" s="303"/>
      <c r="AA148" s="226"/>
      <c r="AB148" s="305"/>
      <c r="AC148" s="306"/>
      <c r="AD148" s="306"/>
      <c r="AE148" s="306"/>
      <c r="AF148" s="307"/>
      <c r="AG148" s="308"/>
      <c r="AH148" s="308"/>
      <c r="AI148" s="308"/>
    </row>
    <row r="149" spans="1:35" ht="5.0999999999999996" customHeight="1" x14ac:dyDescent="0.15">
      <c r="A149" s="206"/>
      <c r="B149" s="200"/>
      <c r="C149" s="200"/>
      <c r="D149" s="200"/>
      <c r="E149" s="77"/>
      <c r="F149" s="78"/>
      <c r="G149" s="78"/>
      <c r="H149" s="79"/>
      <c r="I149" s="284"/>
      <c r="J149" s="309"/>
      <c r="K149" s="310"/>
      <c r="L149" s="200"/>
      <c r="M149" s="343"/>
      <c r="N149" s="200"/>
      <c r="O149" s="291"/>
      <c r="P149" s="244"/>
      <c r="Q149" s="279"/>
      <c r="R149" s="200"/>
      <c r="S149" s="294"/>
      <c r="T149" s="200"/>
      <c r="U149" s="200"/>
      <c r="V149" s="200"/>
      <c r="W149" s="200"/>
      <c r="X149" s="297"/>
      <c r="Y149" s="300"/>
      <c r="Z149" s="303"/>
      <c r="AA149" s="226"/>
      <c r="AB149" s="305"/>
      <c r="AC149" s="306"/>
      <c r="AD149" s="306"/>
      <c r="AE149" s="306"/>
      <c r="AF149" s="307"/>
      <c r="AG149" s="308"/>
      <c r="AH149" s="308"/>
      <c r="AI149" s="308"/>
    </row>
    <row r="150" spans="1:35" ht="5.0999999999999996" customHeight="1" x14ac:dyDescent="0.15">
      <c r="A150" s="207"/>
      <c r="B150" s="201"/>
      <c r="C150" s="201"/>
      <c r="D150" s="200"/>
      <c r="E150" s="13"/>
      <c r="F150" s="12"/>
      <c r="G150" s="74"/>
      <c r="H150" s="75"/>
      <c r="I150" s="285"/>
      <c r="J150" s="311"/>
      <c r="K150" s="312"/>
      <c r="L150" s="201"/>
      <c r="M150" s="344"/>
      <c r="N150" s="201"/>
      <c r="O150" s="292"/>
      <c r="P150" s="242"/>
      <c r="Q150" s="280"/>
      <c r="R150" s="201"/>
      <c r="S150" s="295"/>
      <c r="T150" s="201"/>
      <c r="U150" s="201"/>
      <c r="V150" s="201"/>
      <c r="W150" s="201"/>
      <c r="X150" s="298"/>
      <c r="Y150" s="301"/>
      <c r="Z150" s="304"/>
      <c r="AA150" s="227"/>
      <c r="AB150" s="305"/>
      <c r="AC150" s="306"/>
      <c r="AD150" s="306"/>
      <c r="AE150" s="306"/>
      <c r="AF150" s="307"/>
      <c r="AG150" s="308"/>
      <c r="AH150" s="308"/>
      <c r="AI150" s="308"/>
    </row>
    <row r="151" spans="1:35" ht="5.0999999999999996" customHeight="1" x14ac:dyDescent="0.15">
      <c r="A151" s="205" t="s">
        <v>193</v>
      </c>
      <c r="B151" s="199" t="s">
        <v>131</v>
      </c>
      <c r="C151" s="199">
        <v>200</v>
      </c>
      <c r="D151" s="199">
        <v>150</v>
      </c>
      <c r="E151" s="133"/>
      <c r="F151" s="72"/>
      <c r="G151" s="72"/>
      <c r="H151" s="134"/>
      <c r="I151" s="283">
        <v>205</v>
      </c>
      <c r="J151" s="286"/>
      <c r="K151" s="288"/>
      <c r="L151" s="199" t="s">
        <v>92</v>
      </c>
      <c r="M151" s="342">
        <v>25.9</v>
      </c>
      <c r="N151" s="199">
        <f>+D151</f>
        <v>150</v>
      </c>
      <c r="O151" s="290">
        <f>+M151*4</f>
        <v>103.6</v>
      </c>
      <c r="P151" s="240" t="s">
        <v>143</v>
      </c>
      <c r="Q151" s="278">
        <v>100</v>
      </c>
      <c r="R151" s="199" t="s">
        <v>113</v>
      </c>
      <c r="S151" s="293">
        <f t="shared" ref="S151" si="102">+IF($B$31=50,ROUND(VLOOKUP(Q151,$A$4:$C$14,3,FALSE),1),ROUND(VLOOKUP(Q151,$I$4:$K$14,3,FALSE),1))</f>
        <v>290</v>
      </c>
      <c r="T151" s="199">
        <v>0.7</v>
      </c>
      <c r="U151" s="199">
        <f t="shared" ref="U151" si="103">+IF(T151="","-",T151*S151)</f>
        <v>203</v>
      </c>
      <c r="V151" s="199">
        <v>1.732</v>
      </c>
      <c r="W151" s="199">
        <v>0.8</v>
      </c>
      <c r="X151" s="296">
        <f t="shared" ref="X151" si="104">+IF($B$31=50,VLOOKUP(Q151,$A$16:$C$26,2,FALSE),VLOOKUP(Q151,$I$16:$K$26,2,FALSE))</f>
        <v>0.255</v>
      </c>
      <c r="Y151" s="299">
        <f t="shared" ref="Y151" si="105">+V151*O151*I151*X151/1000</f>
        <v>9.3799750799999977</v>
      </c>
      <c r="Z151" s="302">
        <f t="shared" ref="Z151" si="106">+IF(I151&lt;120,6,IF(I151&lt;200,8,10))</f>
        <v>10</v>
      </c>
      <c r="AA151" s="225" t="s">
        <v>188</v>
      </c>
      <c r="AB151" s="305"/>
      <c r="AC151" s="306"/>
      <c r="AD151" s="306"/>
      <c r="AE151" s="306"/>
      <c r="AF151" s="307">
        <f t="shared" ref="AF151" si="107">+Y151/Z151</f>
        <v>0.93799750799999981</v>
      </c>
      <c r="AG151" s="308" t="str">
        <f t="shared" ref="AG151" si="108">+IF(AF151&lt;0.8,"〇","×")</f>
        <v>×</v>
      </c>
      <c r="AH151" s="308" t="str">
        <f t="shared" ref="AH151" si="109">+IF(U151&gt;D151,"〇","×")</f>
        <v>〇</v>
      </c>
      <c r="AI151" s="308" t="str">
        <f t="shared" ref="AI151" si="110">+IF(D151&gt;O151,"〇","×")</f>
        <v>〇</v>
      </c>
    </row>
    <row r="152" spans="1:35" ht="5.0999999999999996" customHeight="1" thickBot="1" x14ac:dyDescent="0.2">
      <c r="A152" s="206"/>
      <c r="B152" s="200"/>
      <c r="C152" s="200"/>
      <c r="D152" s="200"/>
      <c r="E152" s="13"/>
      <c r="F152" s="12"/>
      <c r="G152" s="12"/>
      <c r="H152" s="14"/>
      <c r="I152" s="284"/>
      <c r="J152" s="287"/>
      <c r="K152" s="289"/>
      <c r="L152" s="200"/>
      <c r="M152" s="343"/>
      <c r="N152" s="200"/>
      <c r="O152" s="291"/>
      <c r="P152" s="244"/>
      <c r="Q152" s="279"/>
      <c r="R152" s="200"/>
      <c r="S152" s="294"/>
      <c r="T152" s="200"/>
      <c r="U152" s="200"/>
      <c r="V152" s="200"/>
      <c r="W152" s="200"/>
      <c r="X152" s="297"/>
      <c r="Y152" s="300"/>
      <c r="Z152" s="303"/>
      <c r="AA152" s="226"/>
      <c r="AB152" s="305"/>
      <c r="AC152" s="306"/>
      <c r="AD152" s="306"/>
      <c r="AE152" s="306"/>
      <c r="AF152" s="307"/>
      <c r="AG152" s="308"/>
      <c r="AH152" s="308"/>
      <c r="AI152" s="308"/>
    </row>
    <row r="153" spans="1:35" ht="5.0999999999999996" customHeight="1" x14ac:dyDescent="0.15">
      <c r="A153" s="206"/>
      <c r="B153" s="200"/>
      <c r="C153" s="200"/>
      <c r="D153" s="200"/>
      <c r="E153" s="77"/>
      <c r="F153" s="78"/>
      <c r="G153" s="78"/>
      <c r="H153" s="79"/>
      <c r="I153" s="284"/>
      <c r="J153" s="309"/>
      <c r="K153" s="310"/>
      <c r="L153" s="200"/>
      <c r="M153" s="343"/>
      <c r="N153" s="200"/>
      <c r="O153" s="291"/>
      <c r="P153" s="244"/>
      <c r="Q153" s="279"/>
      <c r="R153" s="200"/>
      <c r="S153" s="294"/>
      <c r="T153" s="200"/>
      <c r="U153" s="200"/>
      <c r="V153" s="200"/>
      <c r="W153" s="200"/>
      <c r="X153" s="297"/>
      <c r="Y153" s="300"/>
      <c r="Z153" s="303"/>
      <c r="AA153" s="226"/>
      <c r="AB153" s="305"/>
      <c r="AC153" s="306"/>
      <c r="AD153" s="306"/>
      <c r="AE153" s="306"/>
      <c r="AF153" s="307"/>
      <c r="AG153" s="308"/>
      <c r="AH153" s="308"/>
      <c r="AI153" s="308"/>
    </row>
    <row r="154" spans="1:35" ht="5.0999999999999996" customHeight="1" x14ac:dyDescent="0.15">
      <c r="A154" s="207"/>
      <c r="B154" s="201"/>
      <c r="C154" s="201"/>
      <c r="D154" s="200"/>
      <c r="E154" s="13"/>
      <c r="F154" s="12"/>
      <c r="G154" s="74"/>
      <c r="H154" s="75"/>
      <c r="I154" s="285"/>
      <c r="J154" s="311"/>
      <c r="K154" s="312"/>
      <c r="L154" s="201"/>
      <c r="M154" s="344"/>
      <c r="N154" s="201"/>
      <c r="O154" s="292"/>
      <c r="P154" s="242"/>
      <c r="Q154" s="280"/>
      <c r="R154" s="201"/>
      <c r="S154" s="295"/>
      <c r="T154" s="201"/>
      <c r="U154" s="201"/>
      <c r="V154" s="201"/>
      <c r="W154" s="201"/>
      <c r="X154" s="298"/>
      <c r="Y154" s="301"/>
      <c r="Z154" s="304"/>
      <c r="AA154" s="227"/>
      <c r="AB154" s="305"/>
      <c r="AC154" s="306"/>
      <c r="AD154" s="306"/>
      <c r="AE154" s="306"/>
      <c r="AF154" s="307"/>
      <c r="AG154" s="308"/>
      <c r="AH154" s="308"/>
      <c r="AI154" s="308"/>
    </row>
    <row r="155" spans="1:35" ht="5.0999999999999996" customHeight="1" x14ac:dyDescent="0.15">
      <c r="A155" s="205"/>
      <c r="B155" s="199"/>
      <c r="C155" s="199"/>
      <c r="D155" s="199"/>
      <c r="E155" s="133"/>
      <c r="F155" s="72"/>
      <c r="G155" s="72"/>
      <c r="H155" s="134"/>
      <c r="I155" s="199"/>
      <c r="J155" s="286"/>
      <c r="K155" s="288"/>
      <c r="L155" s="199"/>
      <c r="M155" s="121"/>
      <c r="N155" s="199"/>
      <c r="O155" s="199"/>
      <c r="P155" s="324"/>
      <c r="Q155" s="118"/>
      <c r="R155" s="199"/>
      <c r="S155" s="253"/>
      <c r="T155" s="199"/>
      <c r="U155" s="121"/>
      <c r="V155" s="199"/>
      <c r="W155" s="199"/>
      <c r="X155" s="345"/>
      <c r="Y155" s="302"/>
      <c r="Z155" s="302"/>
      <c r="AA155" s="225"/>
      <c r="AB155" s="305"/>
      <c r="AC155" s="341"/>
      <c r="AD155" s="306"/>
      <c r="AE155" s="306"/>
      <c r="AF155" s="307" t="e">
        <f t="shared" ref="AF155" si="111">+Y155/Z155</f>
        <v>#DIV/0!</v>
      </c>
      <c r="AG155" s="308" t="e">
        <f t="shared" ref="AG155" si="112">+IF(AF155&lt;1,"〇","×")</f>
        <v>#DIV/0!</v>
      </c>
      <c r="AH155" s="308" t="str">
        <f t="shared" ref="AH155" si="113">+IF(U155&gt;D155,"〇","×")</f>
        <v>×</v>
      </c>
      <c r="AI155" s="308" t="str">
        <f t="shared" ref="AI155" si="114">+IF(D155&gt;O155,"〇","×")</f>
        <v>×</v>
      </c>
    </row>
    <row r="156" spans="1:35" ht="5.0999999999999996" customHeight="1" x14ac:dyDescent="0.15">
      <c r="A156" s="206"/>
      <c r="B156" s="200"/>
      <c r="C156" s="200"/>
      <c r="D156" s="200"/>
      <c r="E156" s="13"/>
      <c r="F156" s="12"/>
      <c r="G156" s="12"/>
      <c r="H156" s="14"/>
      <c r="I156" s="200"/>
      <c r="J156" s="287"/>
      <c r="K156" s="289"/>
      <c r="L156" s="200"/>
      <c r="M156" s="122"/>
      <c r="N156" s="200"/>
      <c r="O156" s="200"/>
      <c r="P156" s="325"/>
      <c r="Q156" s="119"/>
      <c r="R156" s="200"/>
      <c r="S156" s="254"/>
      <c r="T156" s="200"/>
      <c r="U156" s="122"/>
      <c r="V156" s="200"/>
      <c r="W156" s="200"/>
      <c r="X156" s="346"/>
      <c r="Y156" s="303"/>
      <c r="Z156" s="303"/>
      <c r="AA156" s="226"/>
      <c r="AB156" s="305"/>
      <c r="AC156" s="306"/>
      <c r="AD156" s="306"/>
      <c r="AE156" s="306"/>
      <c r="AF156" s="307"/>
      <c r="AG156" s="308"/>
      <c r="AH156" s="308"/>
      <c r="AI156" s="308"/>
    </row>
    <row r="157" spans="1:35" ht="5.0999999999999996" customHeight="1" x14ac:dyDescent="0.15">
      <c r="A157" s="206"/>
      <c r="B157" s="200"/>
      <c r="C157" s="200"/>
      <c r="D157" s="200"/>
      <c r="E157" s="13"/>
      <c r="F157" s="12"/>
      <c r="G157" s="12"/>
      <c r="H157" s="14"/>
      <c r="I157" s="200"/>
      <c r="J157" s="309"/>
      <c r="K157" s="310"/>
      <c r="L157" s="200"/>
      <c r="M157" s="122"/>
      <c r="N157" s="200"/>
      <c r="O157" s="200"/>
      <c r="P157" s="325"/>
      <c r="Q157" s="119"/>
      <c r="R157" s="200"/>
      <c r="S157" s="254"/>
      <c r="T157" s="200"/>
      <c r="U157" s="122"/>
      <c r="V157" s="200"/>
      <c r="W157" s="200"/>
      <c r="X157" s="346"/>
      <c r="Y157" s="303"/>
      <c r="Z157" s="303"/>
      <c r="AA157" s="226"/>
      <c r="AB157" s="305"/>
      <c r="AC157" s="306"/>
      <c r="AD157" s="306"/>
      <c r="AE157" s="306"/>
      <c r="AF157" s="307"/>
      <c r="AG157" s="308"/>
      <c r="AH157" s="308"/>
      <c r="AI157" s="308"/>
    </row>
    <row r="158" spans="1:35" ht="5.0999999999999996" customHeight="1" x14ac:dyDescent="0.15">
      <c r="A158" s="207"/>
      <c r="B158" s="201"/>
      <c r="C158" s="201"/>
      <c r="D158" s="201"/>
      <c r="E158" s="13"/>
      <c r="F158" s="12"/>
      <c r="G158" s="12"/>
      <c r="H158" s="14"/>
      <c r="I158" s="201"/>
      <c r="J158" s="311"/>
      <c r="K158" s="312"/>
      <c r="L158" s="201"/>
      <c r="M158" s="123"/>
      <c r="N158" s="201"/>
      <c r="O158" s="201"/>
      <c r="P158" s="326"/>
      <c r="Q158" s="120"/>
      <c r="R158" s="201"/>
      <c r="S158" s="255"/>
      <c r="T158" s="201"/>
      <c r="U158" s="123"/>
      <c r="V158" s="201"/>
      <c r="W158" s="201"/>
      <c r="X158" s="347"/>
      <c r="Y158" s="304"/>
      <c r="Z158" s="304"/>
      <c r="AA158" s="227"/>
      <c r="AB158" s="305"/>
      <c r="AC158" s="306"/>
      <c r="AD158" s="306"/>
      <c r="AE158" s="306"/>
      <c r="AF158" s="307"/>
      <c r="AG158" s="308"/>
      <c r="AH158" s="308"/>
      <c r="AI158" s="308"/>
    </row>
    <row r="159" spans="1:35" ht="5.0999999999999996" customHeight="1" x14ac:dyDescent="0.15">
      <c r="A159" s="205" t="s">
        <v>194</v>
      </c>
      <c r="B159" s="199" t="s">
        <v>131</v>
      </c>
      <c r="C159" s="199">
        <v>200</v>
      </c>
      <c r="D159" s="199">
        <v>125</v>
      </c>
      <c r="E159" s="133"/>
      <c r="F159" s="72"/>
      <c r="G159" s="72"/>
      <c r="H159" s="134"/>
      <c r="I159" s="283">
        <v>63</v>
      </c>
      <c r="J159" s="286"/>
      <c r="K159" s="288"/>
      <c r="L159" s="199" t="s">
        <v>90</v>
      </c>
      <c r="M159" s="253">
        <v>20.2</v>
      </c>
      <c r="N159" s="199">
        <f>+D159</f>
        <v>125</v>
      </c>
      <c r="O159" s="290">
        <f>+M159/0.2/1.732</f>
        <v>58.314087759815237</v>
      </c>
      <c r="P159" s="240" t="s">
        <v>143</v>
      </c>
      <c r="Q159" s="278">
        <v>60</v>
      </c>
      <c r="R159" s="199" t="s">
        <v>113</v>
      </c>
      <c r="S159" s="293">
        <f>+IF($B$31=50,ROUND(VLOOKUP(Q159,$A$4:$C$14,3,FALSE),1),ROUND(VLOOKUP(Q159,$I$4:$K$14,3,FALSE),1))</f>
        <v>210</v>
      </c>
      <c r="T159" s="199">
        <v>0.7</v>
      </c>
      <c r="U159" s="199">
        <f t="shared" ref="U159" si="115">+IF(T159="","-",T159*S159)</f>
        <v>147</v>
      </c>
      <c r="V159" s="199">
        <v>1.732</v>
      </c>
      <c r="W159" s="199">
        <v>0.8</v>
      </c>
      <c r="X159" s="296">
        <f>+IF($B$31=50,VLOOKUP(Q159,$A$16:$C$26,2,FALSE),VLOOKUP(Q159,$I$16:$K$26,2,FALSE))</f>
        <v>0.38400000000000001</v>
      </c>
      <c r="Y159" s="299">
        <f>+V159*O159*I159*X159/1000</f>
        <v>2.4433919999999998</v>
      </c>
      <c r="Z159" s="302">
        <f>+IF(I159&lt;120,6,IF(I159&lt;200,8,10))</f>
        <v>6</v>
      </c>
      <c r="AA159" s="225" t="s">
        <v>189</v>
      </c>
      <c r="AB159" s="305"/>
      <c r="AC159" s="306"/>
      <c r="AD159" s="306"/>
      <c r="AE159" s="306"/>
      <c r="AF159" s="307">
        <f t="shared" ref="AF159" si="116">+Y159/Z159</f>
        <v>0.40723199999999998</v>
      </c>
      <c r="AG159" s="308" t="str">
        <f t="shared" ref="AG159" si="117">+IF(AF159&lt;0.8,"〇","×")</f>
        <v>〇</v>
      </c>
      <c r="AH159" s="308" t="str">
        <f t="shared" ref="AH159" si="118">+IF(U159&gt;D159,"〇","×")</f>
        <v>〇</v>
      </c>
      <c r="AI159" s="308" t="str">
        <f t="shared" ref="AI159" si="119">+IF(D159&gt;O159,"〇","×")</f>
        <v>〇</v>
      </c>
    </row>
    <row r="160" spans="1:35" ht="5.0999999999999996" customHeight="1" thickBot="1" x14ac:dyDescent="0.2">
      <c r="A160" s="206"/>
      <c r="B160" s="200"/>
      <c r="C160" s="200"/>
      <c r="D160" s="200"/>
      <c r="E160" s="13"/>
      <c r="F160" s="12"/>
      <c r="G160" s="12"/>
      <c r="H160" s="14"/>
      <c r="I160" s="284"/>
      <c r="J160" s="287"/>
      <c r="K160" s="289"/>
      <c r="L160" s="200"/>
      <c r="M160" s="254"/>
      <c r="N160" s="200"/>
      <c r="O160" s="291"/>
      <c r="P160" s="244"/>
      <c r="Q160" s="279"/>
      <c r="R160" s="200"/>
      <c r="S160" s="294"/>
      <c r="T160" s="200"/>
      <c r="U160" s="200"/>
      <c r="V160" s="200"/>
      <c r="W160" s="200"/>
      <c r="X160" s="297"/>
      <c r="Y160" s="300"/>
      <c r="Z160" s="303"/>
      <c r="AA160" s="226"/>
      <c r="AB160" s="305"/>
      <c r="AC160" s="306"/>
      <c r="AD160" s="306"/>
      <c r="AE160" s="306"/>
      <c r="AF160" s="307"/>
      <c r="AG160" s="308"/>
      <c r="AH160" s="308"/>
      <c r="AI160" s="308"/>
    </row>
    <row r="161" spans="1:35" ht="5.0999999999999996" customHeight="1" x14ac:dyDescent="0.15">
      <c r="A161" s="206"/>
      <c r="B161" s="200"/>
      <c r="C161" s="200"/>
      <c r="D161" s="200"/>
      <c r="E161" s="77"/>
      <c r="F161" s="78"/>
      <c r="G161" s="78"/>
      <c r="H161" s="79"/>
      <c r="I161" s="284"/>
      <c r="J161" s="309"/>
      <c r="K161" s="310"/>
      <c r="L161" s="200"/>
      <c r="M161" s="254"/>
      <c r="N161" s="200"/>
      <c r="O161" s="291"/>
      <c r="P161" s="244"/>
      <c r="Q161" s="279"/>
      <c r="R161" s="200"/>
      <c r="S161" s="294"/>
      <c r="T161" s="200"/>
      <c r="U161" s="200"/>
      <c r="V161" s="200"/>
      <c r="W161" s="200"/>
      <c r="X161" s="297"/>
      <c r="Y161" s="300"/>
      <c r="Z161" s="303"/>
      <c r="AA161" s="226"/>
      <c r="AB161" s="305"/>
      <c r="AC161" s="306"/>
      <c r="AD161" s="306"/>
      <c r="AE161" s="306"/>
      <c r="AF161" s="307"/>
      <c r="AG161" s="308"/>
      <c r="AH161" s="308"/>
      <c r="AI161" s="308"/>
    </row>
    <row r="162" spans="1:35" ht="5.0999999999999996" customHeight="1" x14ac:dyDescent="0.15">
      <c r="A162" s="207"/>
      <c r="B162" s="201"/>
      <c r="C162" s="201"/>
      <c r="D162" s="200"/>
      <c r="E162" s="13"/>
      <c r="F162" s="12"/>
      <c r="G162" s="74"/>
      <c r="H162" s="75"/>
      <c r="I162" s="285"/>
      <c r="J162" s="311"/>
      <c r="K162" s="312"/>
      <c r="L162" s="201"/>
      <c r="M162" s="255"/>
      <c r="N162" s="201"/>
      <c r="O162" s="292"/>
      <c r="P162" s="242"/>
      <c r="Q162" s="280"/>
      <c r="R162" s="201"/>
      <c r="S162" s="295"/>
      <c r="T162" s="201"/>
      <c r="U162" s="201"/>
      <c r="V162" s="201"/>
      <c r="W162" s="201"/>
      <c r="X162" s="298"/>
      <c r="Y162" s="301"/>
      <c r="Z162" s="304"/>
      <c r="AA162" s="227"/>
      <c r="AB162" s="305"/>
      <c r="AC162" s="306"/>
      <c r="AD162" s="306"/>
      <c r="AE162" s="306"/>
      <c r="AF162" s="307"/>
      <c r="AG162" s="308"/>
      <c r="AH162" s="308"/>
      <c r="AI162" s="308"/>
    </row>
    <row r="163" spans="1:35" ht="5.0999999999999996" customHeight="1" x14ac:dyDescent="0.15">
      <c r="A163" s="205"/>
      <c r="B163" s="199"/>
      <c r="C163" s="199"/>
      <c r="D163" s="199"/>
      <c r="E163" s="133"/>
      <c r="F163" s="72"/>
      <c r="G163" s="72"/>
      <c r="H163" s="134"/>
      <c r="I163" s="199"/>
      <c r="J163" s="286"/>
      <c r="K163" s="288"/>
      <c r="L163" s="199"/>
      <c r="M163" s="121"/>
      <c r="N163" s="199"/>
      <c r="O163" s="199"/>
      <c r="P163" s="324"/>
      <c r="Q163" s="118"/>
      <c r="R163" s="199"/>
      <c r="S163" s="253"/>
      <c r="T163" s="199"/>
      <c r="U163" s="121"/>
      <c r="V163" s="199"/>
      <c r="W163" s="199"/>
      <c r="X163" s="345"/>
      <c r="Y163" s="302"/>
      <c r="Z163" s="302"/>
      <c r="AA163" s="225"/>
      <c r="AB163" s="305"/>
      <c r="AC163" s="341"/>
      <c r="AD163" s="306"/>
      <c r="AE163" s="306"/>
      <c r="AF163" s="307" t="e">
        <f t="shared" ref="AF163" si="120">+Y163/Z163</f>
        <v>#DIV/0!</v>
      </c>
      <c r="AG163" s="308" t="e">
        <f t="shared" ref="AG163" si="121">+IF(AF163&lt;1,"〇","×")</f>
        <v>#DIV/0!</v>
      </c>
      <c r="AH163" s="308" t="str">
        <f t="shared" ref="AH163" si="122">+IF(U163&gt;D163,"〇","×")</f>
        <v>×</v>
      </c>
      <c r="AI163" s="308" t="str">
        <f t="shared" ref="AI163" si="123">+IF(D163&gt;O163,"〇","×")</f>
        <v>×</v>
      </c>
    </row>
    <row r="164" spans="1:35" ht="5.0999999999999996" customHeight="1" x14ac:dyDescent="0.15">
      <c r="A164" s="206"/>
      <c r="B164" s="200"/>
      <c r="C164" s="200"/>
      <c r="D164" s="200"/>
      <c r="E164" s="13"/>
      <c r="F164" s="12"/>
      <c r="G164" s="12"/>
      <c r="H164" s="14"/>
      <c r="I164" s="200"/>
      <c r="J164" s="287"/>
      <c r="K164" s="289"/>
      <c r="L164" s="200"/>
      <c r="M164" s="122"/>
      <c r="N164" s="200"/>
      <c r="O164" s="200"/>
      <c r="P164" s="325"/>
      <c r="Q164" s="119"/>
      <c r="R164" s="200"/>
      <c r="S164" s="254"/>
      <c r="T164" s="200"/>
      <c r="U164" s="122"/>
      <c r="V164" s="200"/>
      <c r="W164" s="200"/>
      <c r="X164" s="346"/>
      <c r="Y164" s="303"/>
      <c r="Z164" s="303"/>
      <c r="AA164" s="226"/>
      <c r="AB164" s="305"/>
      <c r="AC164" s="306"/>
      <c r="AD164" s="306"/>
      <c r="AE164" s="306"/>
      <c r="AF164" s="307"/>
      <c r="AG164" s="308"/>
      <c r="AH164" s="308"/>
      <c r="AI164" s="308"/>
    </row>
    <row r="165" spans="1:35" ht="5.0999999999999996" customHeight="1" x14ac:dyDescent="0.15">
      <c r="A165" s="206"/>
      <c r="B165" s="200"/>
      <c r="C165" s="200"/>
      <c r="D165" s="200"/>
      <c r="E165" s="13"/>
      <c r="F165" s="12"/>
      <c r="G165" s="12"/>
      <c r="H165" s="14"/>
      <c r="I165" s="200"/>
      <c r="J165" s="309"/>
      <c r="K165" s="310"/>
      <c r="L165" s="200"/>
      <c r="M165" s="122"/>
      <c r="N165" s="200"/>
      <c r="O165" s="200"/>
      <c r="P165" s="325"/>
      <c r="Q165" s="119"/>
      <c r="R165" s="200"/>
      <c r="S165" s="254"/>
      <c r="T165" s="200"/>
      <c r="U165" s="122"/>
      <c r="V165" s="200"/>
      <c r="W165" s="200"/>
      <c r="X165" s="346"/>
      <c r="Y165" s="303"/>
      <c r="Z165" s="303"/>
      <c r="AA165" s="226"/>
      <c r="AB165" s="305"/>
      <c r="AC165" s="306"/>
      <c r="AD165" s="306"/>
      <c r="AE165" s="306"/>
      <c r="AF165" s="307"/>
      <c r="AG165" s="308"/>
      <c r="AH165" s="308"/>
      <c r="AI165" s="308"/>
    </row>
    <row r="166" spans="1:35" ht="5.0999999999999996" customHeight="1" x14ac:dyDescent="0.15">
      <c r="A166" s="207"/>
      <c r="B166" s="201"/>
      <c r="C166" s="201"/>
      <c r="D166" s="201"/>
      <c r="E166" s="13"/>
      <c r="F166" s="12"/>
      <c r="G166" s="12"/>
      <c r="H166" s="14"/>
      <c r="I166" s="201"/>
      <c r="J166" s="311"/>
      <c r="K166" s="312"/>
      <c r="L166" s="201"/>
      <c r="M166" s="123"/>
      <c r="N166" s="201"/>
      <c r="O166" s="201"/>
      <c r="P166" s="326"/>
      <c r="Q166" s="120"/>
      <c r="R166" s="201"/>
      <c r="S166" s="255"/>
      <c r="T166" s="201"/>
      <c r="U166" s="123"/>
      <c r="V166" s="201"/>
      <c r="W166" s="201"/>
      <c r="X166" s="347"/>
      <c r="Y166" s="304"/>
      <c r="Z166" s="304"/>
      <c r="AA166" s="227"/>
      <c r="AB166" s="305"/>
      <c r="AC166" s="306"/>
      <c r="AD166" s="306"/>
      <c r="AE166" s="306"/>
      <c r="AF166" s="307"/>
      <c r="AG166" s="308"/>
      <c r="AH166" s="308"/>
      <c r="AI166" s="308"/>
    </row>
    <row r="167" spans="1:35" ht="5.0999999999999996" customHeight="1" x14ac:dyDescent="0.15">
      <c r="A167" s="205" t="s">
        <v>195</v>
      </c>
      <c r="B167" s="199" t="s">
        <v>131</v>
      </c>
      <c r="C167" s="199">
        <v>200</v>
      </c>
      <c r="D167" s="199">
        <v>200</v>
      </c>
      <c r="E167" s="133"/>
      <c r="F167" s="72"/>
      <c r="G167" s="72"/>
      <c r="H167" s="134"/>
      <c r="I167" s="283">
        <v>63</v>
      </c>
      <c r="J167" s="286"/>
      <c r="K167" s="288"/>
      <c r="L167" s="199" t="s">
        <v>90</v>
      </c>
      <c r="M167" s="275" t="s">
        <v>190</v>
      </c>
      <c r="N167" s="199">
        <f>+D167</f>
        <v>200</v>
      </c>
      <c r="O167" s="253">
        <f>25.9*4+20.2/0.2/1.732</f>
        <v>161.91408775981523</v>
      </c>
      <c r="P167" s="240" t="s">
        <v>143</v>
      </c>
      <c r="Q167" s="278">
        <v>100</v>
      </c>
      <c r="R167" s="199" t="s">
        <v>113</v>
      </c>
      <c r="S167" s="293">
        <f>+IF($B$31=50,ROUND(VLOOKUP(Q167,$A$4:$C$14,3,FALSE),1),ROUND(VLOOKUP(Q167,$I$4:$K$14,3,FALSE),1))</f>
        <v>290</v>
      </c>
      <c r="T167" s="199">
        <v>0.7</v>
      </c>
      <c r="U167" s="199">
        <f t="shared" ref="U167" si="124">+IF(T167="","-",T167*S167)</f>
        <v>203</v>
      </c>
      <c r="V167" s="199">
        <v>1.732</v>
      </c>
      <c r="W167" s="199">
        <v>0.8</v>
      </c>
      <c r="X167" s="296">
        <f>+IF($B$31=50,VLOOKUP(Q167,$A$16:$C$26,2,FALSE),VLOOKUP(Q167,$I$16:$K$26,2,FALSE))</f>
        <v>0.255</v>
      </c>
      <c r="Y167" s="299">
        <f>+V167*O167*I167*X167/1000</f>
        <v>4.5051914879999995</v>
      </c>
      <c r="Z167" s="302">
        <f>+IF(I167&lt;120,6,IF(I167&lt;200,8,10))</f>
        <v>6</v>
      </c>
      <c r="AA167" s="225" t="s">
        <v>189</v>
      </c>
      <c r="AB167" s="305"/>
      <c r="AC167" s="341"/>
      <c r="AD167" s="306"/>
      <c r="AE167" s="306"/>
      <c r="AF167" s="307">
        <f t="shared" ref="AF167" si="125">+Y167/Z167</f>
        <v>0.75086524799999987</v>
      </c>
      <c r="AG167" s="308" t="str">
        <f t="shared" ref="AG167" si="126">+IF(AF167&lt;1,"〇","×")</f>
        <v>〇</v>
      </c>
      <c r="AH167" s="308" t="str">
        <f t="shared" ref="AH167" si="127">+IF(U167&gt;D167,"〇","×")</f>
        <v>〇</v>
      </c>
      <c r="AI167" s="308" t="str">
        <f t="shared" ref="AI167" si="128">+IF(D167&gt;O167,"〇","×")</f>
        <v>〇</v>
      </c>
    </row>
    <row r="168" spans="1:35" ht="5.0999999999999996" customHeight="1" thickBot="1" x14ac:dyDescent="0.2">
      <c r="A168" s="206"/>
      <c r="B168" s="200"/>
      <c r="C168" s="200"/>
      <c r="D168" s="200"/>
      <c r="E168" s="13"/>
      <c r="F168" s="12"/>
      <c r="G168" s="12"/>
      <c r="H168" s="14"/>
      <c r="I168" s="284"/>
      <c r="J168" s="287"/>
      <c r="K168" s="289"/>
      <c r="L168" s="200"/>
      <c r="M168" s="276"/>
      <c r="N168" s="200"/>
      <c r="O168" s="254"/>
      <c r="P168" s="244"/>
      <c r="Q168" s="279"/>
      <c r="R168" s="200"/>
      <c r="S168" s="294"/>
      <c r="T168" s="200"/>
      <c r="U168" s="200"/>
      <c r="V168" s="200"/>
      <c r="W168" s="200"/>
      <c r="X168" s="297"/>
      <c r="Y168" s="300"/>
      <c r="Z168" s="303"/>
      <c r="AA168" s="226"/>
      <c r="AB168" s="305"/>
      <c r="AC168" s="306"/>
      <c r="AD168" s="306"/>
      <c r="AE168" s="306"/>
      <c r="AF168" s="307"/>
      <c r="AG168" s="308"/>
      <c r="AH168" s="308"/>
      <c r="AI168" s="308"/>
    </row>
    <row r="169" spans="1:35" ht="5.0999999999999996" customHeight="1" x14ac:dyDescent="0.15">
      <c r="A169" s="206"/>
      <c r="B169" s="200"/>
      <c r="C169" s="200"/>
      <c r="D169" s="200"/>
      <c r="E169" s="77"/>
      <c r="F169" s="78"/>
      <c r="G169" s="78"/>
      <c r="H169" s="79"/>
      <c r="I169" s="284"/>
      <c r="J169" s="309"/>
      <c r="K169" s="310"/>
      <c r="L169" s="200"/>
      <c r="M169" s="276"/>
      <c r="N169" s="200"/>
      <c r="O169" s="254"/>
      <c r="P169" s="244"/>
      <c r="Q169" s="279"/>
      <c r="R169" s="200"/>
      <c r="S169" s="294"/>
      <c r="T169" s="200"/>
      <c r="U169" s="200"/>
      <c r="V169" s="200"/>
      <c r="W169" s="200"/>
      <c r="X169" s="297"/>
      <c r="Y169" s="300"/>
      <c r="Z169" s="303"/>
      <c r="AA169" s="226"/>
      <c r="AB169" s="305"/>
      <c r="AC169" s="306"/>
      <c r="AD169" s="306"/>
      <c r="AE169" s="306"/>
      <c r="AF169" s="307"/>
      <c r="AG169" s="308"/>
      <c r="AH169" s="308"/>
      <c r="AI169" s="308"/>
    </row>
    <row r="170" spans="1:35" ht="5.0999999999999996" customHeight="1" x14ac:dyDescent="0.15">
      <c r="A170" s="207"/>
      <c r="B170" s="201"/>
      <c r="C170" s="201"/>
      <c r="D170" s="200"/>
      <c r="E170" s="13"/>
      <c r="F170" s="12"/>
      <c r="G170" s="74"/>
      <c r="H170" s="75"/>
      <c r="I170" s="285"/>
      <c r="J170" s="311"/>
      <c r="K170" s="312"/>
      <c r="L170" s="201"/>
      <c r="M170" s="277"/>
      <c r="N170" s="201"/>
      <c r="O170" s="255"/>
      <c r="P170" s="242"/>
      <c r="Q170" s="280"/>
      <c r="R170" s="201"/>
      <c r="S170" s="295"/>
      <c r="T170" s="201"/>
      <c r="U170" s="201"/>
      <c r="V170" s="201"/>
      <c r="W170" s="201"/>
      <c r="X170" s="298"/>
      <c r="Y170" s="301"/>
      <c r="Z170" s="304"/>
      <c r="AA170" s="227"/>
      <c r="AB170" s="305"/>
      <c r="AC170" s="306"/>
      <c r="AD170" s="306"/>
      <c r="AE170" s="306"/>
      <c r="AF170" s="307"/>
      <c r="AG170" s="308"/>
      <c r="AH170" s="308"/>
      <c r="AI170" s="308"/>
    </row>
    <row r="171" spans="1:35" ht="5.0999999999999996" customHeight="1" x14ac:dyDescent="0.15">
      <c r="A171" s="205"/>
      <c r="B171" s="199"/>
      <c r="C171" s="199"/>
      <c r="D171" s="199"/>
      <c r="E171" s="133"/>
      <c r="F171" s="72"/>
      <c r="G171" s="72"/>
      <c r="H171" s="134"/>
      <c r="I171" s="199"/>
      <c r="J171" s="286"/>
      <c r="K171" s="288"/>
      <c r="L171" s="199"/>
      <c r="M171" s="121"/>
      <c r="N171" s="199"/>
      <c r="O171" s="199"/>
      <c r="P171" s="324"/>
      <c r="Q171" s="118"/>
      <c r="R171" s="199"/>
      <c r="S171" s="253"/>
      <c r="T171" s="199"/>
      <c r="U171" s="121"/>
      <c r="V171" s="199"/>
      <c r="W171" s="199"/>
      <c r="X171" s="345"/>
      <c r="Y171" s="302"/>
      <c r="Z171" s="302"/>
      <c r="AA171" s="225"/>
      <c r="AB171" s="305"/>
      <c r="AC171" s="341"/>
      <c r="AD171" s="306"/>
      <c r="AE171" s="306"/>
      <c r="AF171" s="307" t="e">
        <f t="shared" ref="AF171" si="129">+Y171/Z171</f>
        <v>#DIV/0!</v>
      </c>
      <c r="AG171" s="308" t="e">
        <f t="shared" ref="AG171" si="130">+IF(AF171&lt;1,"〇","×")</f>
        <v>#DIV/0!</v>
      </c>
      <c r="AH171" s="308" t="str">
        <f t="shared" ref="AH171" si="131">+IF(U171&gt;D171,"〇","×")</f>
        <v>×</v>
      </c>
      <c r="AI171" s="308" t="str">
        <f t="shared" ref="AI171" si="132">+IF(D171&gt;O171,"〇","×")</f>
        <v>×</v>
      </c>
    </row>
    <row r="172" spans="1:35" ht="5.0999999999999996" customHeight="1" x14ac:dyDescent="0.15">
      <c r="A172" s="206"/>
      <c r="B172" s="200"/>
      <c r="C172" s="200"/>
      <c r="D172" s="200"/>
      <c r="E172" s="13"/>
      <c r="F172" s="12"/>
      <c r="G172" s="12"/>
      <c r="H172" s="14"/>
      <c r="I172" s="200"/>
      <c r="J172" s="287"/>
      <c r="K172" s="289"/>
      <c r="L172" s="200"/>
      <c r="M172" s="122"/>
      <c r="N172" s="200"/>
      <c r="O172" s="200"/>
      <c r="P172" s="325"/>
      <c r="Q172" s="119"/>
      <c r="R172" s="200"/>
      <c r="S172" s="254"/>
      <c r="T172" s="200"/>
      <c r="U172" s="122"/>
      <c r="V172" s="200"/>
      <c r="W172" s="200"/>
      <c r="X172" s="346"/>
      <c r="Y172" s="303"/>
      <c r="Z172" s="303"/>
      <c r="AA172" s="226"/>
      <c r="AB172" s="305"/>
      <c r="AC172" s="306"/>
      <c r="AD172" s="306"/>
      <c r="AE172" s="306"/>
      <c r="AF172" s="307"/>
      <c r="AG172" s="308"/>
      <c r="AH172" s="308"/>
      <c r="AI172" s="308"/>
    </row>
    <row r="173" spans="1:35" ht="5.0999999999999996" customHeight="1" x14ac:dyDescent="0.15">
      <c r="A173" s="206"/>
      <c r="B173" s="200"/>
      <c r="C173" s="200"/>
      <c r="D173" s="200"/>
      <c r="E173" s="13"/>
      <c r="F173" s="12"/>
      <c r="G173" s="12"/>
      <c r="H173" s="14"/>
      <c r="I173" s="200"/>
      <c r="J173" s="309"/>
      <c r="K173" s="310"/>
      <c r="L173" s="200"/>
      <c r="M173" s="122"/>
      <c r="N173" s="200"/>
      <c r="O173" s="200"/>
      <c r="P173" s="325"/>
      <c r="Q173" s="119"/>
      <c r="R173" s="200"/>
      <c r="S173" s="254"/>
      <c r="T173" s="200"/>
      <c r="U173" s="122"/>
      <c r="V173" s="200"/>
      <c r="W173" s="200"/>
      <c r="X173" s="346"/>
      <c r="Y173" s="303"/>
      <c r="Z173" s="303"/>
      <c r="AA173" s="226"/>
      <c r="AB173" s="305"/>
      <c r="AC173" s="306"/>
      <c r="AD173" s="306"/>
      <c r="AE173" s="306"/>
      <c r="AF173" s="307"/>
      <c r="AG173" s="308"/>
      <c r="AH173" s="308"/>
      <c r="AI173" s="308"/>
    </row>
    <row r="174" spans="1:35" ht="5.0999999999999996" customHeight="1" x14ac:dyDescent="0.15">
      <c r="A174" s="207"/>
      <c r="B174" s="201"/>
      <c r="C174" s="201"/>
      <c r="D174" s="201"/>
      <c r="E174" s="13"/>
      <c r="F174" s="12"/>
      <c r="G174" s="12"/>
      <c r="H174" s="14"/>
      <c r="I174" s="201"/>
      <c r="J174" s="311"/>
      <c r="K174" s="312"/>
      <c r="L174" s="201"/>
      <c r="M174" s="123"/>
      <c r="N174" s="201"/>
      <c r="O174" s="201"/>
      <c r="P174" s="326"/>
      <c r="Q174" s="120"/>
      <c r="R174" s="201"/>
      <c r="S174" s="255"/>
      <c r="T174" s="201"/>
      <c r="U174" s="123"/>
      <c r="V174" s="201"/>
      <c r="W174" s="201"/>
      <c r="X174" s="347"/>
      <c r="Y174" s="304"/>
      <c r="Z174" s="304"/>
      <c r="AA174" s="227"/>
      <c r="AB174" s="305"/>
      <c r="AC174" s="306"/>
      <c r="AD174" s="306"/>
      <c r="AE174" s="306"/>
      <c r="AF174" s="307"/>
      <c r="AG174" s="308"/>
      <c r="AH174" s="308"/>
      <c r="AI174" s="308"/>
    </row>
    <row r="175" spans="1:35" ht="5.0999999999999996" customHeight="1" x14ac:dyDescent="0.15">
      <c r="A175" s="205"/>
      <c r="B175" s="199"/>
      <c r="C175" s="199"/>
      <c r="D175" s="199"/>
      <c r="E175" s="133"/>
      <c r="F175" s="72"/>
      <c r="G175" s="72"/>
      <c r="H175" s="134"/>
      <c r="I175" s="283"/>
      <c r="J175" s="286"/>
      <c r="K175" s="288"/>
      <c r="L175" s="199"/>
      <c r="M175" s="253"/>
      <c r="N175" s="253"/>
      <c r="O175" s="290"/>
      <c r="P175" s="240"/>
      <c r="Q175" s="131"/>
      <c r="R175" s="199"/>
      <c r="S175" s="293"/>
      <c r="T175" s="199"/>
      <c r="U175" s="124"/>
      <c r="V175" s="199"/>
      <c r="W175" s="199"/>
      <c r="X175" s="296"/>
      <c r="Y175" s="299"/>
      <c r="Z175" s="302"/>
      <c r="AA175" s="225"/>
      <c r="AB175" s="305"/>
      <c r="AC175" s="306"/>
      <c r="AD175" s="306"/>
      <c r="AE175" s="306"/>
      <c r="AF175" s="307" t="e">
        <f t="shared" ref="AF175" si="133">+Y175/Z175</f>
        <v>#DIV/0!</v>
      </c>
      <c r="AG175" s="308" t="e">
        <f t="shared" ref="AG175" si="134">+IF(AF175&lt;0.8,"〇","×")</f>
        <v>#DIV/0!</v>
      </c>
      <c r="AH175" s="308" t="str">
        <f t="shared" ref="AH175" si="135">+IF(U175&gt;D175,"〇","×")</f>
        <v>×</v>
      </c>
      <c r="AI175" s="308" t="str">
        <f t="shared" ref="AI175" si="136">+IF(D175&gt;O175,"〇","×")</f>
        <v>×</v>
      </c>
    </row>
    <row r="176" spans="1:35" ht="5.0999999999999996" customHeight="1" x14ac:dyDescent="0.15">
      <c r="A176" s="206"/>
      <c r="B176" s="200"/>
      <c r="C176" s="200"/>
      <c r="D176" s="200"/>
      <c r="E176" s="13"/>
      <c r="F176" s="12"/>
      <c r="G176" s="12"/>
      <c r="H176" s="14"/>
      <c r="I176" s="284"/>
      <c r="J176" s="287"/>
      <c r="K176" s="289"/>
      <c r="L176" s="200"/>
      <c r="M176" s="254"/>
      <c r="N176" s="200"/>
      <c r="O176" s="291"/>
      <c r="P176" s="244"/>
      <c r="Q176" s="117"/>
      <c r="R176" s="200"/>
      <c r="S176" s="294"/>
      <c r="T176" s="200"/>
      <c r="U176" s="125"/>
      <c r="V176" s="200"/>
      <c r="W176" s="200"/>
      <c r="X176" s="297"/>
      <c r="Y176" s="300"/>
      <c r="Z176" s="303"/>
      <c r="AA176" s="226"/>
      <c r="AB176" s="305"/>
      <c r="AC176" s="306"/>
      <c r="AD176" s="306"/>
      <c r="AE176" s="306"/>
      <c r="AF176" s="307"/>
      <c r="AG176" s="308"/>
      <c r="AH176" s="308"/>
      <c r="AI176" s="308"/>
    </row>
    <row r="177" spans="1:35" ht="5.0999999999999996" customHeight="1" x14ac:dyDescent="0.15">
      <c r="A177" s="206"/>
      <c r="B177" s="200"/>
      <c r="C177" s="200"/>
      <c r="D177" s="200"/>
      <c r="E177" s="13"/>
      <c r="F177" s="12"/>
      <c r="G177" s="12"/>
      <c r="H177" s="14"/>
      <c r="I177" s="284"/>
      <c r="J177" s="309"/>
      <c r="K177" s="310"/>
      <c r="L177" s="200"/>
      <c r="M177" s="254"/>
      <c r="N177" s="200"/>
      <c r="O177" s="291"/>
      <c r="P177" s="244"/>
      <c r="Q177" s="117"/>
      <c r="R177" s="200"/>
      <c r="S177" s="294"/>
      <c r="T177" s="200"/>
      <c r="U177" s="125"/>
      <c r="V177" s="200"/>
      <c r="W177" s="200"/>
      <c r="X177" s="297"/>
      <c r="Y177" s="300"/>
      <c r="Z177" s="303"/>
      <c r="AA177" s="226"/>
      <c r="AB177" s="305"/>
      <c r="AC177" s="306"/>
      <c r="AD177" s="306"/>
      <c r="AE177" s="306"/>
      <c r="AF177" s="307"/>
      <c r="AG177" s="308"/>
      <c r="AH177" s="308"/>
      <c r="AI177" s="308"/>
    </row>
    <row r="178" spans="1:35" ht="5.0999999999999996" customHeight="1" x14ac:dyDescent="0.15">
      <c r="A178" s="207"/>
      <c r="B178" s="201"/>
      <c r="C178" s="201"/>
      <c r="D178" s="200"/>
      <c r="E178" s="13"/>
      <c r="F178" s="12"/>
      <c r="G178" s="12"/>
      <c r="H178" s="14"/>
      <c r="I178" s="285"/>
      <c r="J178" s="311"/>
      <c r="K178" s="312"/>
      <c r="L178" s="201"/>
      <c r="M178" s="255"/>
      <c r="N178" s="201"/>
      <c r="O178" s="292"/>
      <c r="P178" s="242"/>
      <c r="Q178" s="132"/>
      <c r="R178" s="201"/>
      <c r="S178" s="295"/>
      <c r="T178" s="201"/>
      <c r="U178" s="126"/>
      <c r="V178" s="201"/>
      <c r="W178" s="201"/>
      <c r="X178" s="298"/>
      <c r="Y178" s="301"/>
      <c r="Z178" s="304"/>
      <c r="AA178" s="227"/>
      <c r="AB178" s="305"/>
      <c r="AC178" s="306"/>
      <c r="AD178" s="306"/>
      <c r="AE178" s="306"/>
      <c r="AF178" s="307"/>
      <c r="AG178" s="308"/>
      <c r="AH178" s="308"/>
      <c r="AI178" s="308"/>
    </row>
    <row r="179" spans="1:35" ht="5.0999999999999996" customHeight="1" x14ac:dyDescent="0.15">
      <c r="A179" s="205"/>
      <c r="B179" s="199"/>
      <c r="C179" s="199"/>
      <c r="D179" s="199"/>
      <c r="E179" s="133"/>
      <c r="F179" s="72"/>
      <c r="G179" s="72"/>
      <c r="H179" s="134"/>
      <c r="I179" s="283"/>
      <c r="J179" s="286"/>
      <c r="K179" s="288"/>
      <c r="L179" s="199"/>
      <c r="M179" s="253"/>
      <c r="N179" s="253"/>
      <c r="O179" s="290"/>
      <c r="P179" s="240"/>
      <c r="Q179" s="131"/>
      <c r="R179" s="199"/>
      <c r="S179" s="293"/>
      <c r="T179" s="199"/>
      <c r="U179" s="124"/>
      <c r="V179" s="199"/>
      <c r="W179" s="199"/>
      <c r="X179" s="296"/>
      <c r="Y179" s="299"/>
      <c r="Z179" s="302"/>
      <c r="AA179" s="225"/>
      <c r="AB179" s="305"/>
      <c r="AC179" s="306"/>
      <c r="AD179" s="306"/>
      <c r="AE179" s="306"/>
      <c r="AF179" s="307" t="e">
        <f t="shared" ref="AF179" si="137">+Y179/Z179</f>
        <v>#DIV/0!</v>
      </c>
      <c r="AG179" s="308" t="e">
        <f t="shared" ref="AG179" si="138">+IF(AF179&lt;0.8,"〇","×")</f>
        <v>#DIV/0!</v>
      </c>
      <c r="AH179" s="308" t="str">
        <f t="shared" ref="AH179" si="139">+IF(U179&gt;D179,"〇","×")</f>
        <v>×</v>
      </c>
      <c r="AI179" s="308" t="str">
        <f t="shared" ref="AI179" si="140">+IF(D179&gt;O179,"〇","×")</f>
        <v>×</v>
      </c>
    </row>
    <row r="180" spans="1:35" ht="5.0999999999999996" customHeight="1" x14ac:dyDescent="0.15">
      <c r="A180" s="206"/>
      <c r="B180" s="200"/>
      <c r="C180" s="200"/>
      <c r="D180" s="200"/>
      <c r="E180" s="13"/>
      <c r="F180" s="12"/>
      <c r="G180" s="12"/>
      <c r="H180" s="14"/>
      <c r="I180" s="284"/>
      <c r="J180" s="287"/>
      <c r="K180" s="289"/>
      <c r="L180" s="200"/>
      <c r="M180" s="254"/>
      <c r="N180" s="200"/>
      <c r="O180" s="291"/>
      <c r="P180" s="244"/>
      <c r="Q180" s="117"/>
      <c r="R180" s="200"/>
      <c r="S180" s="294"/>
      <c r="T180" s="200"/>
      <c r="U180" s="125"/>
      <c r="V180" s="200"/>
      <c r="W180" s="200"/>
      <c r="X180" s="297"/>
      <c r="Y180" s="300"/>
      <c r="Z180" s="303"/>
      <c r="AA180" s="226"/>
      <c r="AB180" s="305"/>
      <c r="AC180" s="306"/>
      <c r="AD180" s="306"/>
      <c r="AE180" s="306"/>
      <c r="AF180" s="307"/>
      <c r="AG180" s="308"/>
      <c r="AH180" s="308"/>
      <c r="AI180" s="308"/>
    </row>
    <row r="181" spans="1:35" ht="5.0999999999999996" customHeight="1" x14ac:dyDescent="0.15">
      <c r="A181" s="206"/>
      <c r="B181" s="200"/>
      <c r="C181" s="200"/>
      <c r="D181" s="200"/>
      <c r="E181" s="13"/>
      <c r="F181" s="12"/>
      <c r="G181" s="12"/>
      <c r="H181" s="14"/>
      <c r="I181" s="284"/>
      <c r="J181" s="309"/>
      <c r="K181" s="310"/>
      <c r="L181" s="200"/>
      <c r="M181" s="254"/>
      <c r="N181" s="200"/>
      <c r="O181" s="291"/>
      <c r="P181" s="244"/>
      <c r="Q181" s="117"/>
      <c r="R181" s="200"/>
      <c r="S181" s="294"/>
      <c r="T181" s="200"/>
      <c r="U181" s="125"/>
      <c r="V181" s="200"/>
      <c r="W181" s="200"/>
      <c r="X181" s="297"/>
      <c r="Y181" s="300"/>
      <c r="Z181" s="303"/>
      <c r="AA181" s="226"/>
      <c r="AB181" s="305"/>
      <c r="AC181" s="306"/>
      <c r="AD181" s="306"/>
      <c r="AE181" s="306"/>
      <c r="AF181" s="307"/>
      <c r="AG181" s="308"/>
      <c r="AH181" s="308"/>
      <c r="AI181" s="308"/>
    </row>
    <row r="182" spans="1:35" ht="5.0999999999999996" customHeight="1" x14ac:dyDescent="0.15">
      <c r="A182" s="207"/>
      <c r="B182" s="201"/>
      <c r="C182" s="201"/>
      <c r="D182" s="200"/>
      <c r="E182" s="13"/>
      <c r="F182" s="12"/>
      <c r="G182" s="12"/>
      <c r="H182" s="14"/>
      <c r="I182" s="285"/>
      <c r="J182" s="311"/>
      <c r="K182" s="312"/>
      <c r="L182" s="201"/>
      <c r="M182" s="255"/>
      <c r="N182" s="201"/>
      <c r="O182" s="292"/>
      <c r="P182" s="242"/>
      <c r="Q182" s="132"/>
      <c r="R182" s="201"/>
      <c r="S182" s="295"/>
      <c r="T182" s="201"/>
      <c r="U182" s="126"/>
      <c r="V182" s="201"/>
      <c r="W182" s="201"/>
      <c r="X182" s="298"/>
      <c r="Y182" s="301"/>
      <c r="Z182" s="304"/>
      <c r="AA182" s="227"/>
      <c r="AB182" s="305"/>
      <c r="AC182" s="306"/>
      <c r="AD182" s="306"/>
      <c r="AE182" s="306"/>
      <c r="AF182" s="307"/>
      <c r="AG182" s="308"/>
      <c r="AH182" s="308"/>
      <c r="AI182" s="308"/>
    </row>
    <row r="183" spans="1:35" ht="5.0999999999999996" customHeight="1" x14ac:dyDescent="0.15">
      <c r="A183" s="205"/>
      <c r="B183" s="199"/>
      <c r="C183" s="199"/>
      <c r="D183" s="199"/>
      <c r="E183" s="133"/>
      <c r="F183" s="72"/>
      <c r="G183" s="72"/>
      <c r="H183" s="134"/>
      <c r="I183" s="283"/>
      <c r="J183" s="286"/>
      <c r="K183" s="288"/>
      <c r="L183" s="199"/>
      <c r="M183" s="253"/>
      <c r="N183" s="253"/>
      <c r="O183" s="290"/>
      <c r="P183" s="240"/>
      <c r="Q183" s="131"/>
      <c r="R183" s="199"/>
      <c r="S183" s="293"/>
      <c r="T183" s="199"/>
      <c r="U183" s="124"/>
      <c r="V183" s="199"/>
      <c r="W183" s="199"/>
      <c r="X183" s="296"/>
      <c r="Y183" s="299"/>
      <c r="Z183" s="302"/>
      <c r="AA183" s="225"/>
      <c r="AB183" s="305"/>
      <c r="AC183" s="306"/>
      <c r="AD183" s="306"/>
      <c r="AE183" s="306"/>
      <c r="AF183" s="307" t="e">
        <f t="shared" ref="AF183" si="141">+Y183/Z183</f>
        <v>#DIV/0!</v>
      </c>
      <c r="AG183" s="308" t="e">
        <f t="shared" ref="AG183" si="142">+IF(AF183&lt;0.8,"〇","×")</f>
        <v>#DIV/0!</v>
      </c>
      <c r="AH183" s="308" t="str">
        <f t="shared" ref="AH183" si="143">+IF(U183&gt;D183,"〇","×")</f>
        <v>×</v>
      </c>
      <c r="AI183" s="308" t="str">
        <f t="shared" ref="AI183" si="144">+IF(D183&gt;O183,"〇","×")</f>
        <v>×</v>
      </c>
    </row>
    <row r="184" spans="1:35" ht="5.0999999999999996" customHeight="1" x14ac:dyDescent="0.15">
      <c r="A184" s="206"/>
      <c r="B184" s="200"/>
      <c r="C184" s="200"/>
      <c r="D184" s="200"/>
      <c r="E184" s="13"/>
      <c r="F184" s="12"/>
      <c r="G184" s="12"/>
      <c r="H184" s="14"/>
      <c r="I184" s="284"/>
      <c r="J184" s="287"/>
      <c r="K184" s="289"/>
      <c r="L184" s="200"/>
      <c r="M184" s="254"/>
      <c r="N184" s="200"/>
      <c r="O184" s="291"/>
      <c r="P184" s="244"/>
      <c r="Q184" s="117"/>
      <c r="R184" s="200"/>
      <c r="S184" s="294"/>
      <c r="T184" s="200"/>
      <c r="U184" s="125"/>
      <c r="V184" s="200"/>
      <c r="W184" s="200"/>
      <c r="X184" s="297"/>
      <c r="Y184" s="300"/>
      <c r="Z184" s="303"/>
      <c r="AA184" s="226"/>
      <c r="AB184" s="305"/>
      <c r="AC184" s="306"/>
      <c r="AD184" s="306"/>
      <c r="AE184" s="306"/>
      <c r="AF184" s="307"/>
      <c r="AG184" s="308"/>
      <c r="AH184" s="308"/>
      <c r="AI184" s="308"/>
    </row>
    <row r="185" spans="1:35" ht="5.0999999999999996" customHeight="1" x14ac:dyDescent="0.15">
      <c r="A185" s="206"/>
      <c r="B185" s="200"/>
      <c r="C185" s="200"/>
      <c r="D185" s="200"/>
      <c r="E185" s="13"/>
      <c r="F185" s="12"/>
      <c r="G185" s="12"/>
      <c r="H185" s="14"/>
      <c r="I185" s="284"/>
      <c r="J185" s="309"/>
      <c r="K185" s="310"/>
      <c r="L185" s="200"/>
      <c r="M185" s="254"/>
      <c r="N185" s="200"/>
      <c r="O185" s="291"/>
      <c r="P185" s="244"/>
      <c r="Q185" s="117"/>
      <c r="R185" s="200"/>
      <c r="S185" s="294"/>
      <c r="T185" s="200"/>
      <c r="U185" s="125"/>
      <c r="V185" s="200"/>
      <c r="W185" s="200"/>
      <c r="X185" s="297"/>
      <c r="Y185" s="300"/>
      <c r="Z185" s="303"/>
      <c r="AA185" s="226"/>
      <c r="AB185" s="305"/>
      <c r="AC185" s="306"/>
      <c r="AD185" s="306"/>
      <c r="AE185" s="306"/>
      <c r="AF185" s="307"/>
      <c r="AG185" s="308"/>
      <c r="AH185" s="308"/>
      <c r="AI185" s="308"/>
    </row>
    <row r="186" spans="1:35" ht="5.0999999999999996" customHeight="1" x14ac:dyDescent="0.15">
      <c r="A186" s="207"/>
      <c r="B186" s="201"/>
      <c r="C186" s="201"/>
      <c r="D186" s="200"/>
      <c r="E186" s="13"/>
      <c r="F186" s="12"/>
      <c r="G186" s="12"/>
      <c r="H186" s="14"/>
      <c r="I186" s="285"/>
      <c r="J186" s="311"/>
      <c r="K186" s="312"/>
      <c r="L186" s="201"/>
      <c r="M186" s="255"/>
      <c r="N186" s="201"/>
      <c r="O186" s="292"/>
      <c r="P186" s="242"/>
      <c r="Q186" s="132"/>
      <c r="R186" s="201"/>
      <c r="S186" s="295"/>
      <c r="T186" s="201"/>
      <c r="U186" s="126"/>
      <c r="V186" s="201"/>
      <c r="W186" s="201"/>
      <c r="X186" s="298"/>
      <c r="Y186" s="301"/>
      <c r="Z186" s="304"/>
      <c r="AA186" s="227"/>
      <c r="AB186" s="305"/>
      <c r="AC186" s="306"/>
      <c r="AD186" s="306"/>
      <c r="AE186" s="306"/>
      <c r="AF186" s="307"/>
      <c r="AG186" s="308"/>
      <c r="AH186" s="308"/>
      <c r="AI186" s="308"/>
    </row>
    <row r="187" spans="1:35" ht="5.0999999999999996" customHeight="1" x14ac:dyDescent="0.15">
      <c r="A187" s="205"/>
      <c r="B187" s="199"/>
      <c r="C187" s="199"/>
      <c r="D187" s="199"/>
      <c r="E187" s="133"/>
      <c r="F187" s="72"/>
      <c r="G187" s="72"/>
      <c r="H187" s="134"/>
      <c r="I187" s="283"/>
      <c r="J187" s="286"/>
      <c r="K187" s="288"/>
      <c r="L187" s="199"/>
      <c r="M187" s="253"/>
      <c r="N187" s="253"/>
      <c r="O187" s="290"/>
      <c r="P187" s="240"/>
      <c r="Q187" s="131"/>
      <c r="R187" s="199"/>
      <c r="S187" s="293"/>
      <c r="T187" s="199"/>
      <c r="U187" s="124"/>
      <c r="V187" s="199"/>
      <c r="W187" s="199"/>
      <c r="X187" s="296"/>
      <c r="Y187" s="299"/>
      <c r="Z187" s="302"/>
      <c r="AA187" s="225"/>
      <c r="AB187" s="305"/>
      <c r="AC187" s="306"/>
      <c r="AD187" s="306"/>
      <c r="AE187" s="306"/>
      <c r="AF187" s="307" t="e">
        <f t="shared" ref="AF187" si="145">+Y187/Z187</f>
        <v>#DIV/0!</v>
      </c>
      <c r="AG187" s="308" t="e">
        <f t="shared" ref="AG187" si="146">+IF(AF187&lt;0.8,"〇","×")</f>
        <v>#DIV/0!</v>
      </c>
      <c r="AH187" s="308" t="str">
        <f t="shared" ref="AH187" si="147">+IF(U187&gt;D187,"〇","×")</f>
        <v>×</v>
      </c>
      <c r="AI187" s="308" t="str">
        <f t="shared" ref="AI187" si="148">+IF(D187&gt;O187,"〇","×")</f>
        <v>×</v>
      </c>
    </row>
    <row r="188" spans="1:35" ht="5.0999999999999996" customHeight="1" x14ac:dyDescent="0.15">
      <c r="A188" s="206"/>
      <c r="B188" s="200"/>
      <c r="C188" s="200"/>
      <c r="D188" s="200"/>
      <c r="E188" s="13"/>
      <c r="F188" s="12"/>
      <c r="G188" s="12"/>
      <c r="H188" s="14"/>
      <c r="I188" s="284"/>
      <c r="J188" s="287"/>
      <c r="K188" s="289"/>
      <c r="L188" s="200"/>
      <c r="M188" s="254"/>
      <c r="N188" s="200"/>
      <c r="O188" s="291"/>
      <c r="P188" s="244"/>
      <c r="Q188" s="117"/>
      <c r="R188" s="200"/>
      <c r="S188" s="294"/>
      <c r="T188" s="200"/>
      <c r="U188" s="125"/>
      <c r="V188" s="200"/>
      <c r="W188" s="200"/>
      <c r="X188" s="297"/>
      <c r="Y188" s="300"/>
      <c r="Z188" s="303"/>
      <c r="AA188" s="226"/>
      <c r="AB188" s="305"/>
      <c r="AC188" s="306"/>
      <c r="AD188" s="306"/>
      <c r="AE188" s="306"/>
      <c r="AF188" s="307"/>
      <c r="AG188" s="308"/>
      <c r="AH188" s="308"/>
      <c r="AI188" s="308"/>
    </row>
    <row r="189" spans="1:35" ht="5.0999999999999996" customHeight="1" x14ac:dyDescent="0.15">
      <c r="A189" s="206"/>
      <c r="B189" s="200"/>
      <c r="C189" s="200"/>
      <c r="D189" s="200"/>
      <c r="E189" s="13"/>
      <c r="F189" s="12"/>
      <c r="G189" s="12"/>
      <c r="H189" s="14"/>
      <c r="I189" s="284"/>
      <c r="J189" s="309"/>
      <c r="K189" s="310"/>
      <c r="L189" s="200"/>
      <c r="M189" s="254"/>
      <c r="N189" s="200"/>
      <c r="O189" s="291"/>
      <c r="P189" s="244"/>
      <c r="Q189" s="117"/>
      <c r="R189" s="200"/>
      <c r="S189" s="294"/>
      <c r="T189" s="200"/>
      <c r="U189" s="125"/>
      <c r="V189" s="200"/>
      <c r="W189" s="200"/>
      <c r="X189" s="297"/>
      <c r="Y189" s="300"/>
      <c r="Z189" s="303"/>
      <c r="AA189" s="226"/>
      <c r="AB189" s="305"/>
      <c r="AC189" s="306"/>
      <c r="AD189" s="306"/>
      <c r="AE189" s="306"/>
      <c r="AF189" s="307"/>
      <c r="AG189" s="308"/>
      <c r="AH189" s="308"/>
      <c r="AI189" s="308"/>
    </row>
    <row r="190" spans="1:35" ht="5.0999999999999996" customHeight="1" x14ac:dyDescent="0.15">
      <c r="A190" s="207"/>
      <c r="B190" s="201"/>
      <c r="C190" s="201"/>
      <c r="D190" s="200"/>
      <c r="E190" s="13"/>
      <c r="F190" s="12"/>
      <c r="G190" s="12"/>
      <c r="H190" s="14"/>
      <c r="I190" s="285"/>
      <c r="J190" s="311"/>
      <c r="K190" s="312"/>
      <c r="L190" s="201"/>
      <c r="M190" s="255"/>
      <c r="N190" s="201"/>
      <c r="O190" s="292"/>
      <c r="P190" s="242"/>
      <c r="Q190" s="132"/>
      <c r="R190" s="201"/>
      <c r="S190" s="295"/>
      <c r="T190" s="201"/>
      <c r="U190" s="126"/>
      <c r="V190" s="201"/>
      <c r="W190" s="201"/>
      <c r="X190" s="298"/>
      <c r="Y190" s="301"/>
      <c r="Z190" s="304"/>
      <c r="AA190" s="227"/>
      <c r="AB190" s="305"/>
      <c r="AC190" s="306"/>
      <c r="AD190" s="306"/>
      <c r="AE190" s="306"/>
      <c r="AF190" s="307"/>
      <c r="AG190" s="308"/>
      <c r="AH190" s="308"/>
      <c r="AI190" s="308"/>
    </row>
    <row r="191" spans="1:35" ht="5.0999999999999996" customHeight="1" x14ac:dyDescent="0.15">
      <c r="A191" s="205"/>
      <c r="B191" s="199"/>
      <c r="C191" s="199"/>
      <c r="D191" s="199"/>
      <c r="E191" s="133"/>
      <c r="F191" s="72"/>
      <c r="G191" s="72"/>
      <c r="H191" s="134"/>
      <c r="I191" s="283"/>
      <c r="J191" s="286"/>
      <c r="K191" s="288"/>
      <c r="L191" s="199"/>
      <c r="M191" s="253"/>
      <c r="N191" s="253"/>
      <c r="O191" s="290"/>
      <c r="P191" s="240"/>
      <c r="Q191" s="131"/>
      <c r="R191" s="199"/>
      <c r="S191" s="293"/>
      <c r="T191" s="199"/>
      <c r="U191" s="124"/>
      <c r="V191" s="199"/>
      <c r="W191" s="199"/>
      <c r="X191" s="296"/>
      <c r="Y191" s="299"/>
      <c r="Z191" s="302"/>
      <c r="AA191" s="225"/>
      <c r="AB191" s="305"/>
      <c r="AC191" s="306"/>
      <c r="AD191" s="306"/>
      <c r="AE191" s="306"/>
      <c r="AF191" s="307" t="e">
        <f t="shared" ref="AF191" si="149">+Y191/Z191</f>
        <v>#DIV/0!</v>
      </c>
      <c r="AG191" s="308" t="e">
        <f t="shared" ref="AG191" si="150">+IF(AF191&lt;0.8,"〇","×")</f>
        <v>#DIV/0!</v>
      </c>
      <c r="AH191" s="308" t="str">
        <f t="shared" ref="AH191" si="151">+IF(U191&gt;D191,"〇","×")</f>
        <v>×</v>
      </c>
      <c r="AI191" s="308" t="str">
        <f t="shared" ref="AI191" si="152">+IF(D191&gt;O191,"〇","×")</f>
        <v>×</v>
      </c>
    </row>
    <row r="192" spans="1:35" ht="5.0999999999999996" customHeight="1" x14ac:dyDescent="0.15">
      <c r="A192" s="206"/>
      <c r="B192" s="200"/>
      <c r="C192" s="200"/>
      <c r="D192" s="200"/>
      <c r="E192" s="13"/>
      <c r="F192" s="12"/>
      <c r="G192" s="12"/>
      <c r="H192" s="14"/>
      <c r="I192" s="284"/>
      <c r="J192" s="287"/>
      <c r="K192" s="289"/>
      <c r="L192" s="200"/>
      <c r="M192" s="254"/>
      <c r="N192" s="200"/>
      <c r="O192" s="291"/>
      <c r="P192" s="244"/>
      <c r="Q192" s="117"/>
      <c r="R192" s="200"/>
      <c r="S192" s="294"/>
      <c r="T192" s="200"/>
      <c r="U192" s="125"/>
      <c r="V192" s="200"/>
      <c r="W192" s="200"/>
      <c r="X192" s="297"/>
      <c r="Y192" s="300"/>
      <c r="Z192" s="303"/>
      <c r="AA192" s="226"/>
      <c r="AB192" s="305"/>
      <c r="AC192" s="306"/>
      <c r="AD192" s="306"/>
      <c r="AE192" s="306"/>
      <c r="AF192" s="307"/>
      <c r="AG192" s="308"/>
      <c r="AH192" s="308"/>
      <c r="AI192" s="308"/>
    </row>
    <row r="193" spans="1:35" ht="5.0999999999999996" customHeight="1" x14ac:dyDescent="0.15">
      <c r="A193" s="206"/>
      <c r="B193" s="200"/>
      <c r="C193" s="200"/>
      <c r="D193" s="200"/>
      <c r="E193" s="13"/>
      <c r="F193" s="12"/>
      <c r="G193" s="12"/>
      <c r="H193" s="14"/>
      <c r="I193" s="284"/>
      <c r="J193" s="309"/>
      <c r="K193" s="310"/>
      <c r="L193" s="200"/>
      <c r="M193" s="254"/>
      <c r="N193" s="200"/>
      <c r="O193" s="291"/>
      <c r="P193" s="244"/>
      <c r="Q193" s="117"/>
      <c r="R193" s="200"/>
      <c r="S193" s="294"/>
      <c r="T193" s="200"/>
      <c r="U193" s="125"/>
      <c r="V193" s="200"/>
      <c r="W193" s="200"/>
      <c r="X193" s="297"/>
      <c r="Y193" s="300"/>
      <c r="Z193" s="303"/>
      <c r="AA193" s="226"/>
      <c r="AB193" s="305"/>
      <c r="AC193" s="306"/>
      <c r="AD193" s="306"/>
      <c r="AE193" s="306"/>
      <c r="AF193" s="307"/>
      <c r="AG193" s="308"/>
      <c r="AH193" s="308"/>
      <c r="AI193" s="308"/>
    </row>
    <row r="194" spans="1:35" ht="5.0999999999999996" customHeight="1" x14ac:dyDescent="0.15">
      <c r="A194" s="207"/>
      <c r="B194" s="201"/>
      <c r="C194" s="201"/>
      <c r="D194" s="200"/>
      <c r="E194" s="13"/>
      <c r="F194" s="12"/>
      <c r="G194" s="12"/>
      <c r="H194" s="14"/>
      <c r="I194" s="285"/>
      <c r="J194" s="311"/>
      <c r="K194" s="312"/>
      <c r="L194" s="201"/>
      <c r="M194" s="255"/>
      <c r="N194" s="201"/>
      <c r="O194" s="292"/>
      <c r="P194" s="242"/>
      <c r="Q194" s="132"/>
      <c r="R194" s="201"/>
      <c r="S194" s="295"/>
      <c r="T194" s="201"/>
      <c r="U194" s="126"/>
      <c r="V194" s="201"/>
      <c r="W194" s="201"/>
      <c r="X194" s="298"/>
      <c r="Y194" s="301"/>
      <c r="Z194" s="304"/>
      <c r="AA194" s="227"/>
      <c r="AB194" s="305"/>
      <c r="AC194" s="306"/>
      <c r="AD194" s="306"/>
      <c r="AE194" s="306"/>
      <c r="AF194" s="307"/>
      <c r="AG194" s="308"/>
      <c r="AH194" s="308"/>
      <c r="AI194" s="308"/>
    </row>
    <row r="195" spans="1:35" ht="5.0999999999999996" customHeight="1" x14ac:dyDescent="0.15">
      <c r="A195" s="205"/>
      <c r="B195" s="199"/>
      <c r="C195" s="199"/>
      <c r="D195" s="199"/>
      <c r="E195" s="133"/>
      <c r="F195" s="72"/>
      <c r="G195" s="72"/>
      <c r="H195" s="134"/>
      <c r="I195" s="283"/>
      <c r="J195" s="286"/>
      <c r="K195" s="288"/>
      <c r="L195" s="199"/>
      <c r="M195" s="253"/>
      <c r="N195" s="253"/>
      <c r="O195" s="290"/>
      <c r="P195" s="240"/>
      <c r="Q195" s="131"/>
      <c r="R195" s="199"/>
      <c r="S195" s="293"/>
      <c r="T195" s="199"/>
      <c r="U195" s="124"/>
      <c r="V195" s="199"/>
      <c r="W195" s="199"/>
      <c r="X195" s="296"/>
      <c r="Y195" s="299"/>
      <c r="Z195" s="302"/>
      <c r="AA195" s="225"/>
      <c r="AB195" s="305"/>
      <c r="AC195" s="306"/>
      <c r="AD195" s="306"/>
      <c r="AE195" s="306"/>
      <c r="AF195" s="307" t="e">
        <f t="shared" ref="AF195" si="153">+Y195/Z195</f>
        <v>#DIV/0!</v>
      </c>
      <c r="AG195" s="308" t="e">
        <f t="shared" ref="AG195" si="154">+IF(AF195&lt;0.8,"〇","×")</f>
        <v>#DIV/0!</v>
      </c>
      <c r="AH195" s="308" t="str">
        <f t="shared" ref="AH195" si="155">+IF(U195&gt;D195,"〇","×")</f>
        <v>×</v>
      </c>
      <c r="AI195" s="308" t="str">
        <f t="shared" ref="AI195" si="156">+IF(D195&gt;O195,"〇","×")</f>
        <v>×</v>
      </c>
    </row>
    <row r="196" spans="1:35" ht="5.0999999999999996" customHeight="1" x14ac:dyDescent="0.15">
      <c r="A196" s="206"/>
      <c r="B196" s="200"/>
      <c r="C196" s="200"/>
      <c r="D196" s="200"/>
      <c r="E196" s="13"/>
      <c r="F196" s="12"/>
      <c r="G196" s="12"/>
      <c r="H196" s="14"/>
      <c r="I196" s="284"/>
      <c r="J196" s="287"/>
      <c r="K196" s="289"/>
      <c r="L196" s="200"/>
      <c r="M196" s="254"/>
      <c r="N196" s="200"/>
      <c r="O196" s="291"/>
      <c r="P196" s="244"/>
      <c r="Q196" s="117"/>
      <c r="R196" s="200"/>
      <c r="S196" s="294"/>
      <c r="T196" s="200"/>
      <c r="U196" s="125"/>
      <c r="V196" s="200"/>
      <c r="W196" s="200"/>
      <c r="X196" s="297"/>
      <c r="Y196" s="300"/>
      <c r="Z196" s="303"/>
      <c r="AA196" s="226"/>
      <c r="AB196" s="305"/>
      <c r="AC196" s="306"/>
      <c r="AD196" s="306"/>
      <c r="AE196" s="306"/>
      <c r="AF196" s="307"/>
      <c r="AG196" s="308"/>
      <c r="AH196" s="308"/>
      <c r="AI196" s="308"/>
    </row>
    <row r="197" spans="1:35" ht="5.0999999999999996" customHeight="1" x14ac:dyDescent="0.15">
      <c r="A197" s="206"/>
      <c r="B197" s="200"/>
      <c r="C197" s="200"/>
      <c r="D197" s="200"/>
      <c r="E197" s="13"/>
      <c r="F197" s="12"/>
      <c r="G197" s="12"/>
      <c r="H197" s="14"/>
      <c r="I197" s="284"/>
      <c r="J197" s="309"/>
      <c r="K197" s="310"/>
      <c r="L197" s="200"/>
      <c r="M197" s="254"/>
      <c r="N197" s="200"/>
      <c r="O197" s="291"/>
      <c r="P197" s="244"/>
      <c r="Q197" s="117"/>
      <c r="R197" s="200"/>
      <c r="S197" s="294"/>
      <c r="T197" s="200"/>
      <c r="U197" s="125"/>
      <c r="V197" s="200"/>
      <c r="W197" s="200"/>
      <c r="X197" s="297"/>
      <c r="Y197" s="300"/>
      <c r="Z197" s="303"/>
      <c r="AA197" s="226"/>
      <c r="AB197" s="305"/>
      <c r="AC197" s="306"/>
      <c r="AD197" s="306"/>
      <c r="AE197" s="306"/>
      <c r="AF197" s="307"/>
      <c r="AG197" s="308"/>
      <c r="AH197" s="308"/>
      <c r="AI197" s="308"/>
    </row>
    <row r="198" spans="1:35" ht="5.0999999999999996" customHeight="1" x14ac:dyDescent="0.15">
      <c r="A198" s="207"/>
      <c r="B198" s="201"/>
      <c r="C198" s="201"/>
      <c r="D198" s="200"/>
      <c r="E198" s="13"/>
      <c r="F198" s="12"/>
      <c r="G198" s="12"/>
      <c r="H198" s="14"/>
      <c r="I198" s="285"/>
      <c r="J198" s="311"/>
      <c r="K198" s="312"/>
      <c r="L198" s="201"/>
      <c r="M198" s="255"/>
      <c r="N198" s="201"/>
      <c r="O198" s="292"/>
      <c r="P198" s="242"/>
      <c r="Q198" s="132"/>
      <c r="R198" s="201"/>
      <c r="S198" s="295"/>
      <c r="T198" s="201"/>
      <c r="U198" s="126"/>
      <c r="V198" s="201"/>
      <c r="W198" s="201"/>
      <c r="X198" s="298"/>
      <c r="Y198" s="301"/>
      <c r="Z198" s="304"/>
      <c r="AA198" s="227"/>
      <c r="AB198" s="305"/>
      <c r="AC198" s="306"/>
      <c r="AD198" s="306"/>
      <c r="AE198" s="306"/>
      <c r="AF198" s="307"/>
      <c r="AG198" s="308"/>
      <c r="AH198" s="308"/>
      <c r="AI198" s="308"/>
    </row>
    <row r="199" spans="1:35" ht="5.0999999999999996" customHeight="1" x14ac:dyDescent="0.15">
      <c r="A199" s="205"/>
      <c r="B199" s="199"/>
      <c r="C199" s="199"/>
      <c r="D199" s="199"/>
      <c r="E199" s="133"/>
      <c r="F199" s="72"/>
      <c r="G199" s="72"/>
      <c r="H199" s="134"/>
      <c r="I199" s="283"/>
      <c r="J199" s="286"/>
      <c r="K199" s="288"/>
      <c r="L199" s="199"/>
      <c r="M199" s="253"/>
      <c r="N199" s="253"/>
      <c r="O199" s="290"/>
      <c r="P199" s="240"/>
      <c r="Q199" s="131"/>
      <c r="R199" s="199"/>
      <c r="S199" s="293"/>
      <c r="T199" s="199"/>
      <c r="U199" s="124"/>
      <c r="V199" s="199"/>
      <c r="W199" s="199"/>
      <c r="X199" s="296"/>
      <c r="Y199" s="299"/>
      <c r="Z199" s="302"/>
      <c r="AA199" s="225"/>
      <c r="AB199" s="305"/>
      <c r="AC199" s="306"/>
      <c r="AD199" s="306"/>
      <c r="AE199" s="306"/>
      <c r="AF199" s="307" t="e">
        <f t="shared" ref="AF199" si="157">+Y199/Z199</f>
        <v>#DIV/0!</v>
      </c>
      <c r="AG199" s="308" t="e">
        <f t="shared" ref="AG199" si="158">+IF(AF199&lt;0.8,"〇","×")</f>
        <v>#DIV/0!</v>
      </c>
      <c r="AH199" s="308" t="str">
        <f t="shared" ref="AH199" si="159">+IF(U199&gt;D199,"〇","×")</f>
        <v>×</v>
      </c>
      <c r="AI199" s="308" t="str">
        <f t="shared" ref="AI199" si="160">+IF(D199&gt;O199,"〇","×")</f>
        <v>×</v>
      </c>
    </row>
    <row r="200" spans="1:35" ht="5.0999999999999996" customHeight="1" x14ac:dyDescent="0.15">
      <c r="A200" s="206"/>
      <c r="B200" s="200"/>
      <c r="C200" s="200"/>
      <c r="D200" s="200"/>
      <c r="E200" s="13"/>
      <c r="F200" s="12"/>
      <c r="G200" s="12"/>
      <c r="H200" s="14"/>
      <c r="I200" s="284"/>
      <c r="J200" s="287"/>
      <c r="K200" s="289"/>
      <c r="L200" s="200"/>
      <c r="M200" s="254"/>
      <c r="N200" s="200"/>
      <c r="O200" s="291"/>
      <c r="P200" s="244"/>
      <c r="Q200" s="117"/>
      <c r="R200" s="200"/>
      <c r="S200" s="294"/>
      <c r="T200" s="200"/>
      <c r="U200" s="125"/>
      <c r="V200" s="200"/>
      <c r="W200" s="200"/>
      <c r="X200" s="297"/>
      <c r="Y200" s="300"/>
      <c r="Z200" s="303"/>
      <c r="AA200" s="226"/>
      <c r="AB200" s="305"/>
      <c r="AC200" s="306"/>
      <c r="AD200" s="306"/>
      <c r="AE200" s="306"/>
      <c r="AF200" s="307"/>
      <c r="AG200" s="308"/>
      <c r="AH200" s="308"/>
      <c r="AI200" s="308"/>
    </row>
    <row r="201" spans="1:35" ht="5.0999999999999996" customHeight="1" x14ac:dyDescent="0.15">
      <c r="A201" s="206"/>
      <c r="B201" s="200"/>
      <c r="C201" s="200"/>
      <c r="D201" s="200"/>
      <c r="E201" s="13"/>
      <c r="F201" s="12"/>
      <c r="G201" s="12"/>
      <c r="H201" s="14"/>
      <c r="I201" s="284"/>
      <c r="J201" s="309"/>
      <c r="K201" s="310"/>
      <c r="L201" s="200"/>
      <c r="M201" s="254"/>
      <c r="N201" s="200"/>
      <c r="O201" s="291"/>
      <c r="P201" s="244"/>
      <c r="Q201" s="117"/>
      <c r="R201" s="200"/>
      <c r="S201" s="294"/>
      <c r="T201" s="200"/>
      <c r="U201" s="125"/>
      <c r="V201" s="200"/>
      <c r="W201" s="200"/>
      <c r="X201" s="297"/>
      <c r="Y201" s="300"/>
      <c r="Z201" s="303"/>
      <c r="AA201" s="226"/>
      <c r="AB201" s="305"/>
      <c r="AC201" s="306"/>
      <c r="AD201" s="306"/>
      <c r="AE201" s="306"/>
      <c r="AF201" s="307"/>
      <c r="AG201" s="308"/>
      <c r="AH201" s="308"/>
      <c r="AI201" s="308"/>
    </row>
    <row r="202" spans="1:35" ht="5.0999999999999996" customHeight="1" x14ac:dyDescent="0.15">
      <c r="A202" s="207"/>
      <c r="B202" s="201"/>
      <c r="C202" s="201"/>
      <c r="D202" s="200"/>
      <c r="E202" s="13"/>
      <c r="F202" s="12"/>
      <c r="G202" s="12"/>
      <c r="H202" s="14"/>
      <c r="I202" s="285"/>
      <c r="J202" s="311"/>
      <c r="K202" s="312"/>
      <c r="L202" s="201"/>
      <c r="M202" s="255"/>
      <c r="N202" s="201"/>
      <c r="O202" s="292"/>
      <c r="P202" s="242"/>
      <c r="Q202" s="132"/>
      <c r="R202" s="201"/>
      <c r="S202" s="295"/>
      <c r="T202" s="201"/>
      <c r="U202" s="126"/>
      <c r="V202" s="201"/>
      <c r="W202" s="201"/>
      <c r="X202" s="298"/>
      <c r="Y202" s="301"/>
      <c r="Z202" s="304"/>
      <c r="AA202" s="227"/>
      <c r="AB202" s="305"/>
      <c r="AC202" s="306"/>
      <c r="AD202" s="306"/>
      <c r="AE202" s="306"/>
      <c r="AF202" s="307"/>
      <c r="AG202" s="308"/>
      <c r="AH202" s="308"/>
      <c r="AI202" s="308"/>
    </row>
    <row r="203" spans="1:35" ht="5.0999999999999996" customHeight="1" x14ac:dyDescent="0.15">
      <c r="A203" s="205"/>
      <c r="B203" s="199"/>
      <c r="C203" s="199"/>
      <c r="D203" s="199"/>
      <c r="E203" s="133"/>
      <c r="F203" s="72"/>
      <c r="G203" s="72"/>
      <c r="H203" s="134"/>
      <c r="I203" s="283"/>
      <c r="J203" s="286"/>
      <c r="K203" s="288"/>
      <c r="L203" s="199"/>
      <c r="M203" s="253"/>
      <c r="N203" s="253"/>
      <c r="O203" s="290"/>
      <c r="P203" s="240"/>
      <c r="Q203" s="131"/>
      <c r="R203" s="199"/>
      <c r="S203" s="293"/>
      <c r="T203" s="199"/>
      <c r="U203" s="124"/>
      <c r="V203" s="199"/>
      <c r="W203" s="199"/>
      <c r="X203" s="296"/>
      <c r="Y203" s="299"/>
      <c r="Z203" s="302"/>
      <c r="AA203" s="225"/>
      <c r="AB203" s="305"/>
      <c r="AC203" s="306"/>
      <c r="AD203" s="306"/>
      <c r="AE203" s="306"/>
      <c r="AF203" s="307" t="e">
        <f>+Y203/Z203</f>
        <v>#DIV/0!</v>
      </c>
      <c r="AG203" s="308" t="e">
        <f t="shared" ref="AG203" si="161">+IF(AF203&lt;0.8,"〇","×")</f>
        <v>#DIV/0!</v>
      </c>
      <c r="AH203" s="308" t="str">
        <f t="shared" ref="AH203" si="162">+IF(U203&gt;D203,"〇","×")</f>
        <v>×</v>
      </c>
      <c r="AI203" s="308" t="str">
        <f>+IF(D203&gt;O203,"〇","×")</f>
        <v>×</v>
      </c>
    </row>
    <row r="204" spans="1:35" ht="5.0999999999999996" customHeight="1" x14ac:dyDescent="0.15">
      <c r="A204" s="206"/>
      <c r="B204" s="200"/>
      <c r="C204" s="200"/>
      <c r="D204" s="200"/>
      <c r="E204" s="13"/>
      <c r="F204" s="12"/>
      <c r="G204" s="12"/>
      <c r="H204" s="14"/>
      <c r="I204" s="284"/>
      <c r="J204" s="287"/>
      <c r="K204" s="289"/>
      <c r="L204" s="200"/>
      <c r="M204" s="254"/>
      <c r="N204" s="200"/>
      <c r="O204" s="291"/>
      <c r="P204" s="244"/>
      <c r="Q204" s="117"/>
      <c r="R204" s="200"/>
      <c r="S204" s="294"/>
      <c r="T204" s="200"/>
      <c r="U204" s="125"/>
      <c r="V204" s="200"/>
      <c r="W204" s="200"/>
      <c r="X204" s="297"/>
      <c r="Y204" s="300"/>
      <c r="Z204" s="303"/>
      <c r="AA204" s="226"/>
      <c r="AB204" s="305"/>
      <c r="AC204" s="306"/>
      <c r="AD204" s="306"/>
      <c r="AE204" s="306"/>
      <c r="AF204" s="307"/>
      <c r="AG204" s="308"/>
      <c r="AH204" s="308"/>
      <c r="AI204" s="308"/>
    </row>
    <row r="205" spans="1:35" ht="5.0999999999999996" customHeight="1" x14ac:dyDescent="0.15">
      <c r="A205" s="206"/>
      <c r="B205" s="200"/>
      <c r="C205" s="200"/>
      <c r="D205" s="200"/>
      <c r="E205" s="13"/>
      <c r="F205" s="12"/>
      <c r="G205" s="12"/>
      <c r="H205" s="14"/>
      <c r="I205" s="284"/>
      <c r="J205" s="309"/>
      <c r="K205" s="310"/>
      <c r="L205" s="200"/>
      <c r="M205" s="254"/>
      <c r="N205" s="200"/>
      <c r="O205" s="291"/>
      <c r="P205" s="244"/>
      <c r="Q205" s="117"/>
      <c r="R205" s="200"/>
      <c r="S205" s="294"/>
      <c r="T205" s="200"/>
      <c r="U205" s="125"/>
      <c r="V205" s="200"/>
      <c r="W205" s="200"/>
      <c r="X205" s="297"/>
      <c r="Y205" s="300"/>
      <c r="Z205" s="303"/>
      <c r="AA205" s="226"/>
      <c r="AB205" s="305"/>
      <c r="AC205" s="306"/>
      <c r="AD205" s="306"/>
      <c r="AE205" s="306"/>
      <c r="AF205" s="307"/>
      <c r="AG205" s="308"/>
      <c r="AH205" s="308"/>
      <c r="AI205" s="308"/>
    </row>
    <row r="206" spans="1:35" ht="5.0999999999999996" customHeight="1" x14ac:dyDescent="0.15">
      <c r="A206" s="207"/>
      <c r="B206" s="201"/>
      <c r="C206" s="201"/>
      <c r="D206" s="200"/>
      <c r="E206" s="13"/>
      <c r="F206" s="12"/>
      <c r="G206" s="12"/>
      <c r="H206" s="14"/>
      <c r="I206" s="285"/>
      <c r="J206" s="311"/>
      <c r="K206" s="312"/>
      <c r="L206" s="201"/>
      <c r="M206" s="255"/>
      <c r="N206" s="201"/>
      <c r="O206" s="292"/>
      <c r="P206" s="242"/>
      <c r="Q206" s="132"/>
      <c r="R206" s="201"/>
      <c r="S206" s="295"/>
      <c r="T206" s="201"/>
      <c r="U206" s="126"/>
      <c r="V206" s="201"/>
      <c r="W206" s="201"/>
      <c r="X206" s="298"/>
      <c r="Y206" s="301"/>
      <c r="Z206" s="304"/>
      <c r="AA206" s="227"/>
      <c r="AB206" s="305"/>
      <c r="AC206" s="306"/>
      <c r="AD206" s="306"/>
      <c r="AE206" s="306"/>
      <c r="AF206" s="307"/>
      <c r="AG206" s="308"/>
      <c r="AH206" s="308"/>
      <c r="AI206" s="308"/>
    </row>
    <row r="207" spans="1:35" ht="5.0999999999999996" customHeight="1" x14ac:dyDescent="0.15">
      <c r="A207" s="205"/>
      <c r="B207" s="199"/>
      <c r="C207" s="199"/>
      <c r="D207" s="199"/>
      <c r="E207" s="133"/>
      <c r="F207" s="72"/>
      <c r="G207" s="72"/>
      <c r="H207" s="134"/>
      <c r="I207" s="283"/>
      <c r="J207" s="286"/>
      <c r="K207" s="288"/>
      <c r="L207" s="199"/>
      <c r="M207" s="253"/>
      <c r="N207" s="253"/>
      <c r="O207" s="290"/>
      <c r="P207" s="240"/>
      <c r="Q207" s="131"/>
      <c r="R207" s="199"/>
      <c r="S207" s="293"/>
      <c r="T207" s="199"/>
      <c r="U207" s="124"/>
      <c r="V207" s="199"/>
      <c r="W207" s="199"/>
      <c r="X207" s="296"/>
      <c r="Y207" s="299"/>
      <c r="Z207" s="302"/>
      <c r="AA207" s="225"/>
      <c r="AB207" s="305"/>
      <c r="AC207" s="306"/>
      <c r="AD207" s="306"/>
      <c r="AE207" s="307" t="e">
        <f t="shared" ref="AE207" si="163">+W207/X207</f>
        <v>#DIV/0!</v>
      </c>
      <c r="AF207" s="308" t="e">
        <f t="shared" ref="AF207" si="164">+IF(AE207&lt;0.8,"〇","×")</f>
        <v>#DIV/0!</v>
      </c>
      <c r="AG207" s="308" t="str">
        <f>+IF(T207&gt;D207,"〇","×")</f>
        <v>×</v>
      </c>
      <c r="AH207" s="308" t="str">
        <f>+IF(D207&gt;N207,"〇","×")</f>
        <v>×</v>
      </c>
    </row>
    <row r="208" spans="1:35" ht="5.0999999999999996" customHeight="1" x14ac:dyDescent="0.15">
      <c r="A208" s="206"/>
      <c r="B208" s="200"/>
      <c r="C208" s="200"/>
      <c r="D208" s="200"/>
      <c r="E208" s="13"/>
      <c r="F208" s="12"/>
      <c r="G208" s="12"/>
      <c r="H208" s="14"/>
      <c r="I208" s="284"/>
      <c r="J208" s="287"/>
      <c r="K208" s="289"/>
      <c r="L208" s="200"/>
      <c r="M208" s="254"/>
      <c r="N208" s="200"/>
      <c r="O208" s="291"/>
      <c r="P208" s="244"/>
      <c r="Q208" s="117"/>
      <c r="R208" s="200"/>
      <c r="S208" s="294"/>
      <c r="T208" s="200"/>
      <c r="U208" s="125"/>
      <c r="V208" s="200"/>
      <c r="W208" s="200"/>
      <c r="X208" s="297"/>
      <c r="Y208" s="300"/>
      <c r="Z208" s="303"/>
      <c r="AA208" s="226"/>
      <c r="AB208" s="305"/>
      <c r="AC208" s="306"/>
      <c r="AD208" s="306"/>
      <c r="AE208" s="307"/>
      <c r="AF208" s="308"/>
      <c r="AG208" s="308"/>
      <c r="AH208" s="308"/>
    </row>
    <row r="209" spans="1:35" ht="5.0999999999999996" customHeight="1" x14ac:dyDescent="0.15">
      <c r="A209" s="206"/>
      <c r="B209" s="200"/>
      <c r="C209" s="200"/>
      <c r="D209" s="200"/>
      <c r="E209" s="13"/>
      <c r="F209" s="12"/>
      <c r="G209" s="12"/>
      <c r="H209" s="14"/>
      <c r="I209" s="284"/>
      <c r="J209" s="309"/>
      <c r="K209" s="310"/>
      <c r="L209" s="200"/>
      <c r="M209" s="254"/>
      <c r="N209" s="200"/>
      <c r="O209" s="291"/>
      <c r="P209" s="244"/>
      <c r="Q209" s="117"/>
      <c r="R209" s="200"/>
      <c r="S209" s="294"/>
      <c r="T209" s="200"/>
      <c r="U209" s="125"/>
      <c r="V209" s="200"/>
      <c r="W209" s="200"/>
      <c r="X209" s="297"/>
      <c r="Y209" s="300"/>
      <c r="Z209" s="303"/>
      <c r="AA209" s="226"/>
      <c r="AB209" s="305"/>
      <c r="AC209" s="306"/>
      <c r="AD209" s="306"/>
      <c r="AE209" s="307"/>
      <c r="AF209" s="308"/>
      <c r="AG209" s="308"/>
      <c r="AH209" s="308"/>
    </row>
    <row r="210" spans="1:35" ht="5.0999999999999996" customHeight="1" x14ac:dyDescent="0.15">
      <c r="A210" s="207"/>
      <c r="B210" s="201"/>
      <c r="C210" s="201"/>
      <c r="D210" s="200"/>
      <c r="E210" s="13"/>
      <c r="F210" s="12"/>
      <c r="G210" s="12"/>
      <c r="H210" s="14"/>
      <c r="I210" s="285"/>
      <c r="J210" s="311"/>
      <c r="K210" s="312"/>
      <c r="L210" s="201"/>
      <c r="M210" s="255"/>
      <c r="N210" s="201"/>
      <c r="O210" s="292"/>
      <c r="P210" s="242"/>
      <c r="Q210" s="132"/>
      <c r="R210" s="201"/>
      <c r="S210" s="295"/>
      <c r="T210" s="201"/>
      <c r="U210" s="126"/>
      <c r="V210" s="201"/>
      <c r="W210" s="201"/>
      <c r="X210" s="298"/>
      <c r="Y210" s="301"/>
      <c r="Z210" s="304"/>
      <c r="AA210" s="227"/>
      <c r="AB210" s="305"/>
      <c r="AC210" s="306"/>
      <c r="AD210" s="306"/>
      <c r="AE210" s="307"/>
      <c r="AF210" s="308"/>
      <c r="AG210" s="308"/>
      <c r="AH210" s="308"/>
    </row>
    <row r="211" spans="1:35" ht="5.0999999999999996" customHeight="1" x14ac:dyDescent="0.15">
      <c r="A211" s="205"/>
      <c r="B211" s="199"/>
      <c r="C211" s="199"/>
      <c r="D211" s="199"/>
      <c r="E211" s="133"/>
      <c r="F211" s="72"/>
      <c r="G211" s="72"/>
      <c r="H211" s="134"/>
      <c r="I211" s="283"/>
      <c r="J211" s="286"/>
      <c r="K211" s="288"/>
      <c r="L211" s="199"/>
      <c r="M211" s="253"/>
      <c r="N211" s="253"/>
      <c r="O211" s="290"/>
      <c r="P211" s="240"/>
      <c r="Q211" s="131"/>
      <c r="R211" s="199"/>
      <c r="S211" s="293"/>
      <c r="T211" s="199"/>
      <c r="U211" s="124"/>
      <c r="V211" s="199"/>
      <c r="W211" s="199"/>
      <c r="X211" s="296"/>
      <c r="Y211" s="299"/>
      <c r="Z211" s="302"/>
      <c r="AA211" s="225"/>
      <c r="AB211" s="305"/>
      <c r="AC211" s="306"/>
      <c r="AD211" s="306"/>
      <c r="AE211" s="306"/>
      <c r="AF211" s="307" t="e">
        <f t="shared" ref="AF211" si="165">+Y211/Z211</f>
        <v>#DIV/0!</v>
      </c>
      <c r="AG211" s="308" t="e">
        <f t="shared" ref="AG211" si="166">+IF(AF211&lt;0.8,"〇","×")</f>
        <v>#DIV/0!</v>
      </c>
      <c r="AH211" s="308" t="str">
        <f t="shared" ref="AH211" si="167">+IF(U211&gt;D211,"〇","×")</f>
        <v>×</v>
      </c>
      <c r="AI211" s="308" t="str">
        <f t="shared" ref="AI211" si="168">+IF(D211&gt;O211,"〇","×")</f>
        <v>×</v>
      </c>
    </row>
    <row r="212" spans="1:35" ht="5.0999999999999996" customHeight="1" x14ac:dyDescent="0.15">
      <c r="A212" s="206"/>
      <c r="B212" s="200"/>
      <c r="C212" s="200"/>
      <c r="D212" s="200"/>
      <c r="E212" s="13"/>
      <c r="F212" s="12"/>
      <c r="G212" s="12"/>
      <c r="H212" s="14"/>
      <c r="I212" s="284"/>
      <c r="J212" s="287"/>
      <c r="K212" s="289"/>
      <c r="L212" s="200"/>
      <c r="M212" s="254"/>
      <c r="N212" s="200"/>
      <c r="O212" s="291"/>
      <c r="P212" s="244"/>
      <c r="Q212" s="117"/>
      <c r="R212" s="200"/>
      <c r="S212" s="294"/>
      <c r="T212" s="200"/>
      <c r="U212" s="125"/>
      <c r="V212" s="200"/>
      <c r="W212" s="200"/>
      <c r="X212" s="297"/>
      <c r="Y212" s="300"/>
      <c r="Z212" s="303"/>
      <c r="AA212" s="226"/>
      <c r="AB212" s="305"/>
      <c r="AC212" s="306"/>
      <c r="AD212" s="306"/>
      <c r="AE212" s="306"/>
      <c r="AF212" s="307"/>
      <c r="AG212" s="308"/>
      <c r="AH212" s="308"/>
      <c r="AI212" s="308"/>
    </row>
    <row r="213" spans="1:35" ht="5.0999999999999996" customHeight="1" x14ac:dyDescent="0.15">
      <c r="A213" s="206"/>
      <c r="B213" s="200"/>
      <c r="C213" s="200"/>
      <c r="D213" s="200"/>
      <c r="E213" s="13"/>
      <c r="F213" s="12"/>
      <c r="G213" s="12"/>
      <c r="H213" s="14"/>
      <c r="I213" s="284"/>
      <c r="J213" s="309"/>
      <c r="K213" s="310"/>
      <c r="L213" s="200"/>
      <c r="M213" s="254"/>
      <c r="N213" s="200"/>
      <c r="O213" s="291"/>
      <c r="P213" s="244"/>
      <c r="Q213" s="117"/>
      <c r="R213" s="200"/>
      <c r="S213" s="294"/>
      <c r="T213" s="200"/>
      <c r="U213" s="125"/>
      <c r="V213" s="200"/>
      <c r="W213" s="200"/>
      <c r="X213" s="297"/>
      <c r="Y213" s="300"/>
      <c r="Z213" s="303"/>
      <c r="AA213" s="226"/>
      <c r="AB213" s="305"/>
      <c r="AC213" s="306"/>
      <c r="AD213" s="306"/>
      <c r="AE213" s="306"/>
      <c r="AF213" s="307"/>
      <c r="AG213" s="308"/>
      <c r="AH213" s="308"/>
      <c r="AI213" s="308"/>
    </row>
    <row r="214" spans="1:35" ht="5.0999999999999996" customHeight="1" x14ac:dyDescent="0.15">
      <c r="A214" s="207"/>
      <c r="B214" s="201"/>
      <c r="C214" s="201"/>
      <c r="D214" s="200"/>
      <c r="E214" s="13"/>
      <c r="F214" s="12"/>
      <c r="G214" s="12"/>
      <c r="H214" s="14"/>
      <c r="I214" s="285"/>
      <c r="J214" s="311"/>
      <c r="K214" s="312"/>
      <c r="L214" s="201"/>
      <c r="M214" s="255"/>
      <c r="N214" s="201"/>
      <c r="O214" s="292"/>
      <c r="P214" s="242"/>
      <c r="Q214" s="132"/>
      <c r="R214" s="201"/>
      <c r="S214" s="295"/>
      <c r="T214" s="201"/>
      <c r="U214" s="126"/>
      <c r="V214" s="201"/>
      <c r="W214" s="201"/>
      <c r="X214" s="298"/>
      <c r="Y214" s="301"/>
      <c r="Z214" s="304"/>
      <c r="AA214" s="227"/>
      <c r="AB214" s="305"/>
      <c r="AC214" s="306"/>
      <c r="AD214" s="306"/>
      <c r="AE214" s="306"/>
      <c r="AF214" s="307"/>
      <c r="AG214" s="308"/>
      <c r="AH214" s="308"/>
      <c r="AI214" s="308"/>
    </row>
    <row r="215" spans="1:35" ht="5.0999999999999996" customHeight="1" x14ac:dyDescent="0.15">
      <c r="A215" s="205"/>
      <c r="B215" s="199"/>
      <c r="C215" s="199"/>
      <c r="D215" s="199"/>
      <c r="E215" s="133"/>
      <c r="F215" s="72"/>
      <c r="G215" s="72"/>
      <c r="H215" s="134"/>
      <c r="I215" s="283"/>
      <c r="J215" s="286"/>
      <c r="K215" s="288"/>
      <c r="L215" s="199"/>
      <c r="M215" s="253"/>
      <c r="N215" s="253"/>
      <c r="O215" s="290"/>
      <c r="P215" s="240"/>
      <c r="Q215" s="131"/>
      <c r="R215" s="199"/>
      <c r="S215" s="293"/>
      <c r="T215" s="199"/>
      <c r="U215" s="124"/>
      <c r="V215" s="199"/>
      <c r="W215" s="199"/>
      <c r="X215" s="296"/>
      <c r="Y215" s="299"/>
      <c r="Z215" s="302"/>
      <c r="AA215" s="225"/>
      <c r="AB215" s="305"/>
      <c r="AC215" s="306"/>
      <c r="AD215" s="306"/>
      <c r="AE215" s="306"/>
      <c r="AF215" s="307" t="e">
        <f t="shared" ref="AF215" si="169">+Y215/Z215</f>
        <v>#DIV/0!</v>
      </c>
      <c r="AG215" s="308" t="e">
        <f t="shared" ref="AG215" si="170">+IF(AF215&lt;0.8,"〇","×")</f>
        <v>#DIV/0!</v>
      </c>
      <c r="AH215" s="308" t="str">
        <f t="shared" ref="AH215" si="171">+IF(U215&gt;D215,"〇","×")</f>
        <v>×</v>
      </c>
      <c r="AI215" s="308" t="str">
        <f t="shared" ref="AI215" si="172">+IF(D215&gt;O215,"〇","×")</f>
        <v>×</v>
      </c>
    </row>
    <row r="216" spans="1:35" ht="5.0999999999999996" customHeight="1" x14ac:dyDescent="0.15">
      <c r="A216" s="206"/>
      <c r="B216" s="200"/>
      <c r="C216" s="200"/>
      <c r="D216" s="200"/>
      <c r="E216" s="13"/>
      <c r="F216" s="12"/>
      <c r="G216" s="12"/>
      <c r="H216" s="14"/>
      <c r="I216" s="284"/>
      <c r="J216" s="287"/>
      <c r="K216" s="289"/>
      <c r="L216" s="200"/>
      <c r="M216" s="254"/>
      <c r="N216" s="200"/>
      <c r="O216" s="291"/>
      <c r="P216" s="244"/>
      <c r="Q216" s="117"/>
      <c r="R216" s="200"/>
      <c r="S216" s="294"/>
      <c r="T216" s="200"/>
      <c r="U216" s="125"/>
      <c r="V216" s="200"/>
      <c r="W216" s="200"/>
      <c r="X216" s="297"/>
      <c r="Y216" s="300"/>
      <c r="Z216" s="303"/>
      <c r="AA216" s="226"/>
      <c r="AB216" s="305"/>
      <c r="AC216" s="306"/>
      <c r="AD216" s="306"/>
      <c r="AE216" s="306"/>
      <c r="AF216" s="307"/>
      <c r="AG216" s="308"/>
      <c r="AH216" s="308"/>
      <c r="AI216" s="308"/>
    </row>
    <row r="217" spans="1:35" ht="5.0999999999999996" customHeight="1" x14ac:dyDescent="0.15">
      <c r="A217" s="206"/>
      <c r="B217" s="200"/>
      <c r="C217" s="200"/>
      <c r="D217" s="200"/>
      <c r="E217" s="13"/>
      <c r="F217" s="12"/>
      <c r="G217" s="12"/>
      <c r="H217" s="14"/>
      <c r="I217" s="284"/>
      <c r="J217" s="309"/>
      <c r="K217" s="310"/>
      <c r="L217" s="200"/>
      <c r="M217" s="254"/>
      <c r="N217" s="200"/>
      <c r="O217" s="291"/>
      <c r="P217" s="244"/>
      <c r="Q217" s="117"/>
      <c r="R217" s="200"/>
      <c r="S217" s="294"/>
      <c r="T217" s="200"/>
      <c r="U217" s="125"/>
      <c r="V217" s="200"/>
      <c r="W217" s="200"/>
      <c r="X217" s="297"/>
      <c r="Y217" s="300"/>
      <c r="Z217" s="303"/>
      <c r="AA217" s="226"/>
      <c r="AB217" s="305"/>
      <c r="AC217" s="306"/>
      <c r="AD217" s="306"/>
      <c r="AE217" s="306"/>
      <c r="AF217" s="307"/>
      <c r="AG217" s="308"/>
      <c r="AH217" s="308"/>
      <c r="AI217" s="308"/>
    </row>
    <row r="218" spans="1:35" ht="5.0999999999999996" customHeight="1" x14ac:dyDescent="0.15">
      <c r="A218" s="207"/>
      <c r="B218" s="201"/>
      <c r="C218" s="201"/>
      <c r="D218" s="200"/>
      <c r="E218" s="13"/>
      <c r="F218" s="12"/>
      <c r="G218" s="12"/>
      <c r="H218" s="14"/>
      <c r="I218" s="285"/>
      <c r="J218" s="311"/>
      <c r="K218" s="312"/>
      <c r="L218" s="201"/>
      <c r="M218" s="255"/>
      <c r="N218" s="201"/>
      <c r="O218" s="292"/>
      <c r="P218" s="242"/>
      <c r="Q218" s="132"/>
      <c r="R218" s="201"/>
      <c r="S218" s="295"/>
      <c r="T218" s="201"/>
      <c r="U218" s="126"/>
      <c r="V218" s="201"/>
      <c r="W218" s="201"/>
      <c r="X218" s="298"/>
      <c r="Y218" s="301"/>
      <c r="Z218" s="304"/>
      <c r="AA218" s="227"/>
      <c r="AB218" s="305"/>
      <c r="AC218" s="306"/>
      <c r="AD218" s="306"/>
      <c r="AE218" s="306"/>
      <c r="AF218" s="307"/>
      <c r="AG218" s="308"/>
      <c r="AH218" s="308"/>
      <c r="AI218" s="308"/>
    </row>
    <row r="219" spans="1:35" ht="5.0999999999999996" customHeight="1" x14ac:dyDescent="0.15">
      <c r="A219" s="205"/>
      <c r="B219" s="199"/>
      <c r="C219" s="199"/>
      <c r="D219" s="199"/>
      <c r="E219" s="133"/>
      <c r="F219" s="72"/>
      <c r="G219" s="72"/>
      <c r="H219" s="134"/>
      <c r="I219" s="283"/>
      <c r="J219" s="286"/>
      <c r="K219" s="288"/>
      <c r="L219" s="199"/>
      <c r="M219" s="253"/>
      <c r="N219" s="253"/>
      <c r="O219" s="290"/>
      <c r="P219" s="240"/>
      <c r="Q219" s="131"/>
      <c r="R219" s="199"/>
      <c r="S219" s="293"/>
      <c r="T219" s="199"/>
      <c r="U219" s="124"/>
      <c r="V219" s="199"/>
      <c r="W219" s="199"/>
      <c r="X219" s="296"/>
      <c r="Y219" s="299"/>
      <c r="Z219" s="302"/>
      <c r="AA219" s="225"/>
      <c r="AB219" s="305"/>
      <c r="AC219" s="306"/>
      <c r="AD219" s="306"/>
      <c r="AE219" s="306"/>
      <c r="AF219" s="307" t="e">
        <f t="shared" ref="AF219" si="173">+Y219/Z219</f>
        <v>#DIV/0!</v>
      </c>
      <c r="AG219" s="308" t="e">
        <f t="shared" ref="AG219" si="174">+IF(AF219&lt;0.8,"〇","×")</f>
        <v>#DIV/0!</v>
      </c>
      <c r="AH219" s="308" t="str">
        <f t="shared" ref="AH219" si="175">+IF(U219&gt;D219,"〇","×")</f>
        <v>×</v>
      </c>
      <c r="AI219" s="308" t="str">
        <f t="shared" ref="AI219" si="176">+IF(D219&gt;O219,"〇","×")</f>
        <v>×</v>
      </c>
    </row>
    <row r="220" spans="1:35" ht="5.0999999999999996" customHeight="1" x14ac:dyDescent="0.15">
      <c r="A220" s="206"/>
      <c r="B220" s="200"/>
      <c r="C220" s="200"/>
      <c r="D220" s="200"/>
      <c r="E220" s="13"/>
      <c r="F220" s="12"/>
      <c r="G220" s="12"/>
      <c r="H220" s="14"/>
      <c r="I220" s="284"/>
      <c r="J220" s="287"/>
      <c r="K220" s="289"/>
      <c r="L220" s="200"/>
      <c r="M220" s="254"/>
      <c r="N220" s="200"/>
      <c r="O220" s="291"/>
      <c r="P220" s="244"/>
      <c r="Q220" s="117"/>
      <c r="R220" s="200"/>
      <c r="S220" s="294"/>
      <c r="T220" s="200"/>
      <c r="U220" s="125"/>
      <c r="V220" s="200"/>
      <c r="W220" s="200"/>
      <c r="X220" s="297"/>
      <c r="Y220" s="300"/>
      <c r="Z220" s="303"/>
      <c r="AA220" s="226"/>
      <c r="AB220" s="305"/>
      <c r="AC220" s="306"/>
      <c r="AD220" s="306"/>
      <c r="AE220" s="306"/>
      <c r="AF220" s="307"/>
      <c r="AG220" s="308"/>
      <c r="AH220" s="308"/>
      <c r="AI220" s="308"/>
    </row>
    <row r="221" spans="1:35" ht="5.0999999999999996" customHeight="1" x14ac:dyDescent="0.15">
      <c r="A221" s="206"/>
      <c r="B221" s="200"/>
      <c r="C221" s="200"/>
      <c r="D221" s="200"/>
      <c r="E221" s="13"/>
      <c r="F221" s="12"/>
      <c r="G221" s="12"/>
      <c r="H221" s="14"/>
      <c r="I221" s="284"/>
      <c r="J221" s="309"/>
      <c r="K221" s="310"/>
      <c r="L221" s="200"/>
      <c r="M221" s="254"/>
      <c r="N221" s="200"/>
      <c r="O221" s="291"/>
      <c r="P221" s="244"/>
      <c r="Q221" s="117"/>
      <c r="R221" s="200"/>
      <c r="S221" s="294"/>
      <c r="T221" s="200"/>
      <c r="U221" s="125"/>
      <c r="V221" s="200"/>
      <c r="W221" s="200"/>
      <c r="X221" s="297"/>
      <c r="Y221" s="300"/>
      <c r="Z221" s="303"/>
      <c r="AA221" s="226"/>
      <c r="AB221" s="305"/>
      <c r="AC221" s="306"/>
      <c r="AD221" s="306"/>
      <c r="AE221" s="306"/>
      <c r="AF221" s="307"/>
      <c r="AG221" s="308"/>
      <c r="AH221" s="308"/>
      <c r="AI221" s="308"/>
    </row>
    <row r="222" spans="1:35" ht="5.0999999999999996" customHeight="1" x14ac:dyDescent="0.15">
      <c r="A222" s="207"/>
      <c r="B222" s="201"/>
      <c r="C222" s="201"/>
      <c r="D222" s="200"/>
      <c r="E222" s="13"/>
      <c r="F222" s="12"/>
      <c r="G222" s="12"/>
      <c r="H222" s="14"/>
      <c r="I222" s="285"/>
      <c r="J222" s="311"/>
      <c r="K222" s="312"/>
      <c r="L222" s="201"/>
      <c r="M222" s="255"/>
      <c r="N222" s="201"/>
      <c r="O222" s="292"/>
      <c r="P222" s="242"/>
      <c r="Q222" s="132"/>
      <c r="R222" s="201"/>
      <c r="S222" s="295"/>
      <c r="T222" s="201"/>
      <c r="U222" s="126"/>
      <c r="V222" s="201"/>
      <c r="W222" s="201"/>
      <c r="X222" s="298"/>
      <c r="Y222" s="301"/>
      <c r="Z222" s="304"/>
      <c r="AA222" s="227"/>
      <c r="AB222" s="305"/>
      <c r="AC222" s="306"/>
      <c r="AD222" s="306"/>
      <c r="AE222" s="306"/>
      <c r="AF222" s="307"/>
      <c r="AG222" s="308"/>
      <c r="AH222" s="308"/>
      <c r="AI222" s="308"/>
    </row>
    <row r="223" spans="1:35" ht="5.0999999999999996" customHeight="1" x14ac:dyDescent="0.15">
      <c r="A223" s="205"/>
      <c r="B223" s="199"/>
      <c r="C223" s="199"/>
      <c r="D223" s="199"/>
      <c r="E223" s="133"/>
      <c r="F223" s="72"/>
      <c r="G223" s="72"/>
      <c r="H223" s="134"/>
      <c r="I223" s="283"/>
      <c r="J223" s="286"/>
      <c r="K223" s="288"/>
      <c r="L223" s="199"/>
      <c r="M223" s="253"/>
      <c r="N223" s="253"/>
      <c r="O223" s="290"/>
      <c r="P223" s="240"/>
      <c r="Q223" s="131"/>
      <c r="R223" s="199"/>
      <c r="S223" s="293"/>
      <c r="T223" s="199"/>
      <c r="U223" s="124"/>
      <c r="V223" s="199"/>
      <c r="W223" s="199"/>
      <c r="X223" s="296"/>
      <c r="Y223" s="299"/>
      <c r="Z223" s="302"/>
      <c r="AA223" s="225"/>
      <c r="AB223" s="305"/>
      <c r="AC223" s="306"/>
      <c r="AD223" s="306"/>
      <c r="AE223" s="306"/>
      <c r="AF223" s="307" t="e">
        <f t="shared" ref="AF223" si="177">+Y223/Z223</f>
        <v>#DIV/0!</v>
      </c>
      <c r="AG223" s="308" t="e">
        <f t="shared" ref="AG223" si="178">+IF(AF223&lt;0.8,"〇","×")</f>
        <v>#DIV/0!</v>
      </c>
      <c r="AH223" s="308" t="str">
        <f t="shared" ref="AH223" si="179">+IF(U223&gt;D223,"〇","×")</f>
        <v>×</v>
      </c>
      <c r="AI223" s="308" t="str">
        <f t="shared" ref="AI223" si="180">+IF(D223&gt;O223,"〇","×")</f>
        <v>×</v>
      </c>
    </row>
    <row r="224" spans="1:35" ht="5.0999999999999996" customHeight="1" x14ac:dyDescent="0.15">
      <c r="A224" s="206"/>
      <c r="B224" s="200"/>
      <c r="C224" s="200"/>
      <c r="D224" s="200"/>
      <c r="E224" s="13"/>
      <c r="F224" s="12"/>
      <c r="G224" s="12"/>
      <c r="H224" s="14"/>
      <c r="I224" s="284"/>
      <c r="J224" s="287"/>
      <c r="K224" s="289"/>
      <c r="L224" s="200"/>
      <c r="M224" s="254"/>
      <c r="N224" s="200"/>
      <c r="O224" s="291"/>
      <c r="P224" s="244"/>
      <c r="Q224" s="117"/>
      <c r="R224" s="200"/>
      <c r="S224" s="294"/>
      <c r="T224" s="200"/>
      <c r="U224" s="125"/>
      <c r="V224" s="200"/>
      <c r="W224" s="200"/>
      <c r="X224" s="297"/>
      <c r="Y224" s="300"/>
      <c r="Z224" s="303"/>
      <c r="AA224" s="226"/>
      <c r="AB224" s="305"/>
      <c r="AC224" s="306"/>
      <c r="AD224" s="306"/>
      <c r="AE224" s="306"/>
      <c r="AF224" s="307"/>
      <c r="AG224" s="308"/>
      <c r="AH224" s="308"/>
      <c r="AI224" s="308"/>
    </row>
    <row r="225" spans="1:35" ht="5.0999999999999996" customHeight="1" x14ac:dyDescent="0.15">
      <c r="A225" s="206"/>
      <c r="B225" s="200"/>
      <c r="C225" s="200"/>
      <c r="D225" s="200"/>
      <c r="E225" s="13"/>
      <c r="F225" s="12"/>
      <c r="G225" s="12"/>
      <c r="H225" s="14"/>
      <c r="I225" s="284"/>
      <c r="J225" s="309"/>
      <c r="K225" s="310"/>
      <c r="L225" s="200"/>
      <c r="M225" s="254"/>
      <c r="N225" s="200"/>
      <c r="O225" s="291"/>
      <c r="P225" s="244"/>
      <c r="Q225" s="117"/>
      <c r="R225" s="200"/>
      <c r="S225" s="294"/>
      <c r="T225" s="200"/>
      <c r="U225" s="125"/>
      <c r="V225" s="200"/>
      <c r="W225" s="200"/>
      <c r="X225" s="297"/>
      <c r="Y225" s="300"/>
      <c r="Z225" s="303"/>
      <c r="AA225" s="226"/>
      <c r="AB225" s="305"/>
      <c r="AC225" s="306"/>
      <c r="AD225" s="306"/>
      <c r="AE225" s="306"/>
      <c r="AF225" s="307"/>
      <c r="AG225" s="308"/>
      <c r="AH225" s="308"/>
      <c r="AI225" s="308"/>
    </row>
    <row r="226" spans="1:35" ht="5.0999999999999996" customHeight="1" x14ac:dyDescent="0.15">
      <c r="A226" s="207"/>
      <c r="B226" s="201"/>
      <c r="C226" s="201"/>
      <c r="D226" s="200"/>
      <c r="E226" s="13"/>
      <c r="F226" s="12"/>
      <c r="G226" s="12"/>
      <c r="H226" s="14"/>
      <c r="I226" s="285"/>
      <c r="J226" s="311"/>
      <c r="K226" s="312"/>
      <c r="L226" s="201"/>
      <c r="M226" s="255"/>
      <c r="N226" s="201"/>
      <c r="O226" s="292"/>
      <c r="P226" s="242"/>
      <c r="Q226" s="132"/>
      <c r="R226" s="201"/>
      <c r="S226" s="295"/>
      <c r="T226" s="201"/>
      <c r="U226" s="126"/>
      <c r="V226" s="201"/>
      <c r="W226" s="201"/>
      <c r="X226" s="298"/>
      <c r="Y226" s="301"/>
      <c r="Z226" s="304"/>
      <c r="AA226" s="227"/>
      <c r="AB226" s="305"/>
      <c r="AC226" s="306"/>
      <c r="AD226" s="306"/>
      <c r="AE226" s="306"/>
      <c r="AF226" s="307"/>
      <c r="AG226" s="308"/>
      <c r="AH226" s="308"/>
      <c r="AI226" s="308"/>
    </row>
    <row r="227" spans="1:35" ht="5.0999999999999996" customHeight="1" x14ac:dyDescent="0.15">
      <c r="A227" s="205"/>
      <c r="B227" s="199"/>
      <c r="C227" s="199"/>
      <c r="D227" s="199"/>
      <c r="E227" s="133"/>
      <c r="F227" s="72"/>
      <c r="G227" s="72"/>
      <c r="H227" s="134"/>
      <c r="I227" s="199"/>
      <c r="J227" s="286"/>
      <c r="K227" s="288"/>
      <c r="L227" s="199"/>
      <c r="M227" s="121"/>
      <c r="N227" s="199"/>
      <c r="O227" s="199"/>
      <c r="P227" s="324"/>
      <c r="Q227" s="118"/>
      <c r="R227" s="199"/>
      <c r="S227" s="253"/>
      <c r="T227" s="199"/>
      <c r="U227" s="121"/>
      <c r="V227" s="199"/>
      <c r="W227" s="199"/>
      <c r="X227" s="345"/>
      <c r="Y227" s="299"/>
      <c r="Z227" s="302"/>
      <c r="AA227" s="225"/>
      <c r="AB227" s="305"/>
      <c r="AC227" s="306"/>
      <c r="AD227" s="306"/>
      <c r="AE227" s="307" t="e">
        <f t="shared" ref="AE227" si="181">+W227/X227</f>
        <v>#DIV/0!</v>
      </c>
      <c r="AF227" s="308" t="e">
        <f t="shared" ref="AF227" si="182">+IF(AE227&lt;0.8,"〇","×")</f>
        <v>#DIV/0!</v>
      </c>
      <c r="AG227" s="308" t="str">
        <f>+IF(T227&gt;D227,"〇","×")</f>
        <v>×</v>
      </c>
      <c r="AH227" s="308" t="str">
        <f>+IF(D227&gt;N227,"〇","×")</f>
        <v>×</v>
      </c>
    </row>
    <row r="228" spans="1:35" ht="5.0999999999999996" customHeight="1" x14ac:dyDescent="0.15">
      <c r="A228" s="206"/>
      <c r="B228" s="200"/>
      <c r="C228" s="200"/>
      <c r="D228" s="200"/>
      <c r="E228" s="13"/>
      <c r="F228" s="12"/>
      <c r="G228" s="12"/>
      <c r="H228" s="14"/>
      <c r="I228" s="200"/>
      <c r="J228" s="287"/>
      <c r="K228" s="289"/>
      <c r="L228" s="200"/>
      <c r="M228" s="122"/>
      <c r="N228" s="200"/>
      <c r="O228" s="200"/>
      <c r="P228" s="325"/>
      <c r="Q228" s="119"/>
      <c r="R228" s="200"/>
      <c r="S228" s="254"/>
      <c r="T228" s="200"/>
      <c r="U228" s="122"/>
      <c r="V228" s="200"/>
      <c r="W228" s="200"/>
      <c r="X228" s="346"/>
      <c r="Y228" s="300"/>
      <c r="Z228" s="303"/>
      <c r="AA228" s="226"/>
      <c r="AB228" s="305"/>
      <c r="AC228" s="306"/>
      <c r="AD228" s="306"/>
      <c r="AE228" s="307"/>
      <c r="AF228" s="308"/>
      <c r="AG228" s="308"/>
      <c r="AH228" s="308"/>
    </row>
    <row r="229" spans="1:35" ht="5.0999999999999996" customHeight="1" x14ac:dyDescent="0.15">
      <c r="A229" s="206"/>
      <c r="B229" s="200"/>
      <c r="C229" s="200"/>
      <c r="D229" s="200"/>
      <c r="E229" s="13"/>
      <c r="F229" s="12"/>
      <c r="G229" s="12"/>
      <c r="H229" s="14"/>
      <c r="I229" s="200"/>
      <c r="J229" s="309"/>
      <c r="K229" s="310"/>
      <c r="L229" s="200"/>
      <c r="M229" s="122"/>
      <c r="N229" s="200"/>
      <c r="O229" s="200"/>
      <c r="P229" s="325"/>
      <c r="Q229" s="119"/>
      <c r="R229" s="200"/>
      <c r="S229" s="254"/>
      <c r="T229" s="200"/>
      <c r="U229" s="122"/>
      <c r="V229" s="200"/>
      <c r="W229" s="200"/>
      <c r="X229" s="346"/>
      <c r="Y229" s="300"/>
      <c r="Z229" s="303"/>
      <c r="AA229" s="226"/>
      <c r="AB229" s="305"/>
      <c r="AC229" s="306"/>
      <c r="AD229" s="306"/>
      <c r="AE229" s="307"/>
      <c r="AF229" s="308"/>
      <c r="AG229" s="308"/>
      <c r="AH229" s="308"/>
    </row>
    <row r="230" spans="1:35" ht="5.0999999999999996" customHeight="1" x14ac:dyDescent="0.15">
      <c r="A230" s="207"/>
      <c r="B230" s="201"/>
      <c r="C230" s="201"/>
      <c r="D230" s="201"/>
      <c r="E230" s="13"/>
      <c r="F230" s="12"/>
      <c r="G230" s="12"/>
      <c r="H230" s="14"/>
      <c r="I230" s="201"/>
      <c r="J230" s="311"/>
      <c r="K230" s="312"/>
      <c r="L230" s="201"/>
      <c r="M230" s="123"/>
      <c r="N230" s="201"/>
      <c r="O230" s="201"/>
      <c r="P230" s="326"/>
      <c r="Q230" s="120"/>
      <c r="R230" s="201"/>
      <c r="S230" s="255"/>
      <c r="T230" s="201"/>
      <c r="U230" s="123"/>
      <c r="V230" s="201"/>
      <c r="W230" s="201"/>
      <c r="X230" s="347"/>
      <c r="Y230" s="301"/>
      <c r="Z230" s="304"/>
      <c r="AA230" s="227"/>
      <c r="AB230" s="305"/>
      <c r="AC230" s="306"/>
      <c r="AD230" s="306"/>
      <c r="AE230" s="307"/>
      <c r="AF230" s="308"/>
      <c r="AG230" s="308"/>
      <c r="AH230" s="308"/>
    </row>
    <row r="231" spans="1:35" s="27" customFormat="1" ht="13.5" customHeight="1" x14ac:dyDescent="0.15">
      <c r="A231" s="23" t="s">
        <v>68</v>
      </c>
      <c r="B231" s="24"/>
      <c r="C231" s="25"/>
      <c r="D231" s="25" t="s">
        <v>10</v>
      </c>
      <c r="E231" s="52" t="s">
        <v>43</v>
      </c>
      <c r="F231" s="26"/>
      <c r="G231" s="26"/>
      <c r="H231" s="26"/>
      <c r="I231" s="26"/>
      <c r="J231" s="26"/>
      <c r="K231" s="30"/>
      <c r="L231" s="30"/>
      <c r="M231" s="26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30"/>
      <c r="AA231" s="115"/>
      <c r="AB231" s="7"/>
      <c r="AC231" s="7"/>
    </row>
    <row r="232" spans="1:35" s="27" customFormat="1" ht="13.5" customHeight="1" x14ac:dyDescent="0.15">
      <c r="A232" s="28"/>
      <c r="B232" s="7"/>
      <c r="C232" s="29"/>
      <c r="D232" s="29"/>
      <c r="E232" s="111" t="s">
        <v>42</v>
      </c>
      <c r="F232" s="7"/>
      <c r="G232" s="7"/>
      <c r="H232" s="7"/>
      <c r="I232" s="7"/>
      <c r="J232" s="7"/>
      <c r="K232" s="7"/>
      <c r="L232" s="7"/>
      <c r="M232" s="7"/>
      <c r="N232" s="29"/>
      <c r="O232" s="29"/>
      <c r="P232" s="29"/>
      <c r="Q232" s="29"/>
      <c r="R232" s="29"/>
      <c r="S232" s="29"/>
      <c r="T232" s="29"/>
      <c r="U232" s="363" t="s">
        <v>69</v>
      </c>
      <c r="V232" s="364"/>
      <c r="W232" s="364"/>
      <c r="X232" s="364"/>
      <c r="Y232" s="364"/>
      <c r="Z232" s="29"/>
      <c r="AA232" s="112"/>
      <c r="AB232" s="7"/>
      <c r="AC232" s="7"/>
    </row>
    <row r="233" spans="1:35" s="27" customFormat="1" ht="13.5" customHeight="1" x14ac:dyDescent="0.15">
      <c r="A233" s="28"/>
      <c r="B233" s="29"/>
      <c r="C233" s="29"/>
      <c r="D233" s="29"/>
      <c r="E233" s="111" t="s">
        <v>60</v>
      </c>
      <c r="F233" s="7"/>
      <c r="G233" s="7"/>
      <c r="H233" s="7"/>
      <c r="I233" s="7"/>
      <c r="J233" s="7"/>
      <c r="K233" s="7"/>
      <c r="L233" s="7"/>
      <c r="M233" s="7"/>
      <c r="N233" s="29"/>
      <c r="O233" s="29"/>
      <c r="P233" s="29"/>
      <c r="Q233" s="29"/>
      <c r="R233" s="29"/>
      <c r="S233" s="29"/>
      <c r="T233" s="29"/>
      <c r="U233" s="364"/>
      <c r="V233" s="364"/>
      <c r="W233" s="364"/>
      <c r="X233" s="364"/>
      <c r="Y233" s="364"/>
      <c r="Z233" s="29"/>
      <c r="AA233" s="112"/>
      <c r="AB233" s="7"/>
      <c r="AC233" s="7"/>
    </row>
    <row r="234" spans="1:35" ht="13.5" customHeight="1" x14ac:dyDescent="0.15">
      <c r="A234" s="28"/>
      <c r="B234" s="29"/>
      <c r="C234" s="29"/>
      <c r="D234" s="29"/>
      <c r="E234" s="7" t="s">
        <v>44</v>
      </c>
      <c r="M234" s="7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7"/>
      <c r="AA234" s="116"/>
      <c r="AE234" s="7"/>
    </row>
    <row r="235" spans="1:35" ht="13.5" customHeight="1" x14ac:dyDescent="0.15">
      <c r="A235" s="46"/>
      <c r="E235" s="111" t="s">
        <v>45</v>
      </c>
      <c r="M235" s="7"/>
      <c r="O235" s="9"/>
      <c r="AA235" s="47"/>
      <c r="AE235" s="7"/>
    </row>
    <row r="236" spans="1:35" ht="11.25" customHeight="1" x14ac:dyDescent="0.15">
      <c r="A236" s="46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AA236" s="47"/>
      <c r="AE236" s="7"/>
    </row>
    <row r="237" spans="1:35" ht="11.25" customHeight="1" x14ac:dyDescent="0.15">
      <c r="A237" s="85" t="s">
        <v>70</v>
      </c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AA237" s="47"/>
      <c r="AE237" s="7"/>
    </row>
    <row r="238" spans="1:35" ht="11.25" customHeight="1" x14ac:dyDescent="0.15">
      <c r="A238" s="46" t="s">
        <v>71</v>
      </c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AA238" s="47"/>
      <c r="AE238" s="7"/>
    </row>
    <row r="239" spans="1:35" x14ac:dyDescent="0.15">
      <c r="A239" s="46" t="s">
        <v>72</v>
      </c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AA239" s="47"/>
      <c r="AE239" s="7"/>
    </row>
    <row r="240" spans="1:35" ht="12" thickBot="1" x14ac:dyDescent="0.2">
      <c r="A240" s="20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22"/>
      <c r="AE240" s="7"/>
    </row>
    <row r="241" spans="1:31" ht="15" customHeight="1" thickBot="1" x14ac:dyDescent="0.2">
      <c r="A241" s="84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4"/>
      <c r="R241" s="84"/>
      <c r="S241" s="84"/>
      <c r="T241" s="84"/>
      <c r="U241" s="84"/>
      <c r="V241" s="84"/>
      <c r="W241" s="84"/>
      <c r="X241" s="84"/>
      <c r="Y241" s="87"/>
      <c r="Z241" s="87"/>
      <c r="AA241" s="87" t="s">
        <v>127</v>
      </c>
      <c r="AE241" s="7"/>
    </row>
    <row r="242" spans="1:31" ht="15" customHeight="1" x14ac:dyDescent="0.15">
      <c r="A242" s="84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4"/>
      <c r="R242" s="84"/>
      <c r="S242" s="84"/>
      <c r="T242" s="84"/>
      <c r="U242" s="84"/>
      <c r="V242" s="84"/>
      <c r="W242" s="84"/>
      <c r="X242" s="84"/>
      <c r="Y242" s="87"/>
      <c r="Z242" s="87"/>
      <c r="AA242" s="38"/>
      <c r="AE242" s="7"/>
    </row>
  </sheetData>
  <mergeCells count="1443">
    <mergeCell ref="AE175:AE178"/>
    <mergeCell ref="AF175:AF178"/>
    <mergeCell ref="AG175:AG178"/>
    <mergeCell ref="AH175:AH178"/>
    <mergeCell ref="AI175:AI178"/>
    <mergeCell ref="J177:K178"/>
    <mergeCell ref="P177:P178"/>
    <mergeCell ref="AI199:AI202"/>
    <mergeCell ref="AD203:AD206"/>
    <mergeCell ref="AA175:AA178"/>
    <mergeCell ref="AA179:AA182"/>
    <mergeCell ref="V100:V103"/>
    <mergeCell ref="W100:W103"/>
    <mergeCell ref="X100:X103"/>
    <mergeCell ref="Y92:Y95"/>
    <mergeCell ref="Z92:Z95"/>
    <mergeCell ref="AA100:AA103"/>
    <mergeCell ref="U147:U150"/>
    <mergeCell ref="M100:M103"/>
    <mergeCell ref="M112:M115"/>
    <mergeCell ref="M120:M123"/>
    <mergeCell ref="M108:M111"/>
    <mergeCell ref="M96:M99"/>
    <mergeCell ref="Q96:Q99"/>
    <mergeCell ref="Q100:Q103"/>
    <mergeCell ref="Q108:Q111"/>
    <mergeCell ref="Q112:Q115"/>
    <mergeCell ref="Q120:Q123"/>
    <mergeCell ref="U96:U99"/>
    <mergeCell ref="U100:U103"/>
    <mergeCell ref="U108:U111"/>
    <mergeCell ref="U112:U115"/>
    <mergeCell ref="AE151:AE154"/>
    <mergeCell ref="AF151:AF154"/>
    <mergeCell ref="AG151:AG154"/>
    <mergeCell ref="AH151:AH154"/>
    <mergeCell ref="AA151:AA154"/>
    <mergeCell ref="AA159:AA162"/>
    <mergeCell ref="P151:P154"/>
    <mergeCell ref="Q151:Q154"/>
    <mergeCell ref="U151:U154"/>
    <mergeCell ref="P159:P162"/>
    <mergeCell ref="Q159:Q162"/>
    <mergeCell ref="U159:U162"/>
    <mergeCell ref="A175:A178"/>
    <mergeCell ref="B175:B178"/>
    <mergeCell ref="C175:C178"/>
    <mergeCell ref="D175:D178"/>
    <mergeCell ref="I175:I178"/>
    <mergeCell ref="J175:J176"/>
    <mergeCell ref="K175:K176"/>
    <mergeCell ref="L175:L178"/>
    <mergeCell ref="M175:M178"/>
    <mergeCell ref="N175:N178"/>
    <mergeCell ref="O175:O178"/>
    <mergeCell ref="P175:P176"/>
    <mergeCell ref="R175:R178"/>
    <mergeCell ref="S175:S178"/>
    <mergeCell ref="T175:T178"/>
    <mergeCell ref="V175:V178"/>
    <mergeCell ref="W175:W178"/>
    <mergeCell ref="X175:X178"/>
    <mergeCell ref="Y175:Y178"/>
    <mergeCell ref="Z175:Z178"/>
    <mergeCell ref="C151:C154"/>
    <mergeCell ref="D151:D154"/>
    <mergeCell ref="I151:I154"/>
    <mergeCell ref="J151:J152"/>
    <mergeCell ref="K151:K152"/>
    <mergeCell ref="L151:L154"/>
    <mergeCell ref="M151:M154"/>
    <mergeCell ref="N151:N154"/>
    <mergeCell ref="O151:O154"/>
    <mergeCell ref="R151:R154"/>
    <mergeCell ref="S151:S154"/>
    <mergeCell ref="T151:T154"/>
    <mergeCell ref="V151:V154"/>
    <mergeCell ref="W151:W154"/>
    <mergeCell ref="X151:X154"/>
    <mergeCell ref="Y151:Y154"/>
    <mergeCell ref="Z151:Z154"/>
    <mergeCell ref="AI151:AI154"/>
    <mergeCell ref="J153:K154"/>
    <mergeCell ref="A159:A162"/>
    <mergeCell ref="B159:B162"/>
    <mergeCell ref="C159:C162"/>
    <mergeCell ref="D159:D162"/>
    <mergeCell ref="I159:I162"/>
    <mergeCell ref="J159:J160"/>
    <mergeCell ref="K159:K160"/>
    <mergeCell ref="L159:L162"/>
    <mergeCell ref="M159:M162"/>
    <mergeCell ref="N159:N162"/>
    <mergeCell ref="O159:O162"/>
    <mergeCell ref="R159:R162"/>
    <mergeCell ref="S159:S162"/>
    <mergeCell ref="T159:T162"/>
    <mergeCell ref="V159:V162"/>
    <mergeCell ref="W159:W162"/>
    <mergeCell ref="X159:X162"/>
    <mergeCell ref="Y159:Y162"/>
    <mergeCell ref="Z159:Z162"/>
    <mergeCell ref="AB159:AB162"/>
    <mergeCell ref="AC159:AC162"/>
    <mergeCell ref="AD159:AD162"/>
    <mergeCell ref="AE159:AE162"/>
    <mergeCell ref="AF159:AF162"/>
    <mergeCell ref="AG159:AG162"/>
    <mergeCell ref="AH159:AH162"/>
    <mergeCell ref="AI159:AI162"/>
    <mergeCell ref="J161:K162"/>
    <mergeCell ref="A151:A154"/>
    <mergeCell ref="B151:B154"/>
    <mergeCell ref="C64:C67"/>
    <mergeCell ref="D64:D67"/>
    <mergeCell ref="I64:I67"/>
    <mergeCell ref="J64:J65"/>
    <mergeCell ref="D92:D95"/>
    <mergeCell ref="I92:I95"/>
    <mergeCell ref="J92:J93"/>
    <mergeCell ref="K92:K93"/>
    <mergeCell ref="L92:L95"/>
    <mergeCell ref="N92:N95"/>
    <mergeCell ref="O92:O95"/>
    <mergeCell ref="A60:A63"/>
    <mergeCell ref="B60:B63"/>
    <mergeCell ref="A52:A55"/>
    <mergeCell ref="B52:B55"/>
    <mergeCell ref="C52:C55"/>
    <mergeCell ref="D52:D55"/>
    <mergeCell ref="I52:I55"/>
    <mergeCell ref="C60:C63"/>
    <mergeCell ref="D60:D63"/>
    <mergeCell ref="I60:I63"/>
    <mergeCell ref="M60:M63"/>
    <mergeCell ref="M64:M67"/>
    <mergeCell ref="M72:M75"/>
    <mergeCell ref="M76:M79"/>
    <mergeCell ref="M84:M87"/>
    <mergeCell ref="A56:A59"/>
    <mergeCell ref="B56:B59"/>
    <mergeCell ref="C56:C59"/>
    <mergeCell ref="D56:D59"/>
    <mergeCell ref="I56:I59"/>
    <mergeCell ref="Y52:Y55"/>
    <mergeCell ref="Z52:Z55"/>
    <mergeCell ref="AH76:AH79"/>
    <mergeCell ref="AI76:AI79"/>
    <mergeCell ref="J78:K79"/>
    <mergeCell ref="AD104:AD107"/>
    <mergeCell ref="AE104:AE107"/>
    <mergeCell ref="AF104:AF107"/>
    <mergeCell ref="AG104:AG107"/>
    <mergeCell ref="AH104:AH107"/>
    <mergeCell ref="AI104:AI107"/>
    <mergeCell ref="J106:K107"/>
    <mergeCell ref="AF64:AF67"/>
    <mergeCell ref="AG64:AG67"/>
    <mergeCell ref="AH64:AH67"/>
    <mergeCell ref="AB64:AB67"/>
    <mergeCell ref="AC64:AC67"/>
    <mergeCell ref="AD64:AD67"/>
    <mergeCell ref="AE64:AE67"/>
    <mergeCell ref="W64:W67"/>
    <mergeCell ref="X64:X67"/>
    <mergeCell ref="K64:K65"/>
    <mergeCell ref="L64:L67"/>
    <mergeCell ref="N64:N67"/>
    <mergeCell ref="O64:O67"/>
    <mergeCell ref="A64:A67"/>
    <mergeCell ref="B64:B67"/>
    <mergeCell ref="AD48:AD51"/>
    <mergeCell ref="AA124:AA127"/>
    <mergeCell ref="Y104:Y107"/>
    <mergeCell ref="Z104:Z107"/>
    <mergeCell ref="Y116:Y119"/>
    <mergeCell ref="Z116:Z119"/>
    <mergeCell ref="Y120:Y123"/>
    <mergeCell ref="Z120:Z123"/>
    <mergeCell ref="Y124:Y127"/>
    <mergeCell ref="Z124:Z127"/>
    <mergeCell ref="AA183:AA186"/>
    <mergeCell ref="AA187:AA190"/>
    <mergeCell ref="AA191:AA194"/>
    <mergeCell ref="AA195:AA198"/>
    <mergeCell ref="AA199:AA202"/>
    <mergeCell ref="AA203:AA206"/>
    <mergeCell ref="AA207:AA210"/>
    <mergeCell ref="AC171:AC174"/>
    <mergeCell ref="AB80:AB83"/>
    <mergeCell ref="AC80:AC83"/>
    <mergeCell ref="AA120:AA123"/>
    <mergeCell ref="Y84:Y87"/>
    <mergeCell ref="Z84:Z87"/>
    <mergeCell ref="AA92:AA95"/>
    <mergeCell ref="AC68:AC71"/>
    <mergeCell ref="AD68:AD71"/>
    <mergeCell ref="AB151:AB154"/>
    <mergeCell ref="AC151:AC154"/>
    <mergeCell ref="AD151:AD154"/>
    <mergeCell ref="AB175:AB178"/>
    <mergeCell ref="AC175:AC178"/>
    <mergeCell ref="AD175:AD178"/>
    <mergeCell ref="AH227:AH230"/>
    <mergeCell ref="J229:K230"/>
    <mergeCell ref="U232:Y233"/>
    <mergeCell ref="AB227:AB230"/>
    <mergeCell ref="AC227:AC230"/>
    <mergeCell ref="AD227:AD230"/>
    <mergeCell ref="AE227:AE230"/>
    <mergeCell ref="AF227:AF230"/>
    <mergeCell ref="AG227:AG230"/>
    <mergeCell ref="S227:S230"/>
    <mergeCell ref="T227:T230"/>
    <mergeCell ref="V227:V230"/>
    <mergeCell ref="W227:W230"/>
    <mergeCell ref="K227:K228"/>
    <mergeCell ref="L227:L230"/>
    <mergeCell ref="N227:N230"/>
    <mergeCell ref="O227:O230"/>
    <mergeCell ref="P227:P230"/>
    <mergeCell ref="R227:R230"/>
    <mergeCell ref="Y227:Y230"/>
    <mergeCell ref="AA227:AA230"/>
    <mergeCell ref="K203:K204"/>
    <mergeCell ref="L203:L206"/>
    <mergeCell ref="M203:M206"/>
    <mergeCell ref="N203:N206"/>
    <mergeCell ref="O203:O206"/>
    <mergeCell ref="P203:P204"/>
    <mergeCell ref="A203:A206"/>
    <mergeCell ref="B203:B206"/>
    <mergeCell ref="C203:C206"/>
    <mergeCell ref="D203:D206"/>
    <mergeCell ref="I203:I206"/>
    <mergeCell ref="J203:J204"/>
    <mergeCell ref="J195:J196"/>
    <mergeCell ref="K195:K196"/>
    <mergeCell ref="L195:L198"/>
    <mergeCell ref="M195:M198"/>
    <mergeCell ref="N195:N198"/>
    <mergeCell ref="O195:O198"/>
    <mergeCell ref="A199:A202"/>
    <mergeCell ref="B199:B202"/>
    <mergeCell ref="C199:C202"/>
    <mergeCell ref="D199:D202"/>
    <mergeCell ref="I199:I202"/>
    <mergeCell ref="A195:A198"/>
    <mergeCell ref="C207:C210"/>
    <mergeCell ref="D207:D210"/>
    <mergeCell ref="I207:I210"/>
    <mergeCell ref="Z227:Z230"/>
    <mergeCell ref="Y203:Y206"/>
    <mergeCell ref="Z203:Z206"/>
    <mergeCell ref="X227:X230"/>
    <mergeCell ref="AH203:AH206"/>
    <mergeCell ref="I215:I218"/>
    <mergeCell ref="J215:J216"/>
    <mergeCell ref="K215:K216"/>
    <mergeCell ref="L215:L218"/>
    <mergeCell ref="M215:M218"/>
    <mergeCell ref="N215:N218"/>
    <mergeCell ref="O215:O218"/>
    <mergeCell ref="P215:P216"/>
    <mergeCell ref="R215:R218"/>
    <mergeCell ref="S215:S218"/>
    <mergeCell ref="T215:T218"/>
    <mergeCell ref="V215:V218"/>
    <mergeCell ref="W215:W218"/>
    <mergeCell ref="X215:X218"/>
    <mergeCell ref="Y215:Y218"/>
    <mergeCell ref="Z215:Z218"/>
    <mergeCell ref="AA215:AA218"/>
    <mergeCell ref="AB215:AB218"/>
    <mergeCell ref="AC215:AC218"/>
    <mergeCell ref="AD215:AD218"/>
    <mergeCell ref="AE215:AE218"/>
    <mergeCell ref="AF215:AF218"/>
    <mergeCell ref="AG215:AG218"/>
    <mergeCell ref="AH215:AH218"/>
    <mergeCell ref="A227:A230"/>
    <mergeCell ref="B227:B230"/>
    <mergeCell ref="C227:C230"/>
    <mergeCell ref="D227:D230"/>
    <mergeCell ref="I227:I230"/>
    <mergeCell ref="J227:J228"/>
    <mergeCell ref="J205:K206"/>
    <mergeCell ref="P205:P206"/>
    <mergeCell ref="AG207:AG210"/>
    <mergeCell ref="AH207:AH210"/>
    <mergeCell ref="J209:K210"/>
    <mergeCell ref="P209:P210"/>
    <mergeCell ref="X207:X210"/>
    <mergeCell ref="Y207:Y210"/>
    <mergeCell ref="Z207:Z210"/>
    <mergeCell ref="AB207:AB210"/>
    <mergeCell ref="AC207:AC210"/>
    <mergeCell ref="AD207:AD210"/>
    <mergeCell ref="P207:P208"/>
    <mergeCell ref="R207:R210"/>
    <mergeCell ref="S207:S210"/>
    <mergeCell ref="T207:T210"/>
    <mergeCell ref="V207:V210"/>
    <mergeCell ref="W207:W210"/>
    <mergeCell ref="J207:J208"/>
    <mergeCell ref="K207:K208"/>
    <mergeCell ref="L207:L210"/>
    <mergeCell ref="M207:M210"/>
    <mergeCell ref="N207:N210"/>
    <mergeCell ref="O207:O210"/>
    <mergeCell ref="A207:A210"/>
    <mergeCell ref="B207:B210"/>
    <mergeCell ref="AG191:AG194"/>
    <mergeCell ref="AH191:AH194"/>
    <mergeCell ref="J193:K194"/>
    <mergeCell ref="Y191:Y194"/>
    <mergeCell ref="Z191:Z194"/>
    <mergeCell ref="AB191:AB194"/>
    <mergeCell ref="AC191:AC194"/>
    <mergeCell ref="AD191:AD194"/>
    <mergeCell ref="AE191:AE194"/>
    <mergeCell ref="R191:R194"/>
    <mergeCell ref="S191:S194"/>
    <mergeCell ref="T191:T194"/>
    <mergeCell ref="Y199:Y202"/>
    <mergeCell ref="Z199:Z202"/>
    <mergeCell ref="AB199:AB202"/>
    <mergeCell ref="AC199:AC202"/>
    <mergeCell ref="AD199:AD202"/>
    <mergeCell ref="AE199:AE202"/>
    <mergeCell ref="R199:R202"/>
    <mergeCell ref="S199:S202"/>
    <mergeCell ref="T199:T202"/>
    <mergeCell ref="V199:V202"/>
    <mergeCell ref="W199:W202"/>
    <mergeCell ref="N191:N194"/>
    <mergeCell ref="O191:O194"/>
    <mergeCell ref="J191:J192"/>
    <mergeCell ref="P191:P192"/>
    <mergeCell ref="V191:V194"/>
    <mergeCell ref="W191:W194"/>
    <mergeCell ref="X191:X194"/>
    <mergeCell ref="K191:K192"/>
    <mergeCell ref="L191:L194"/>
    <mergeCell ref="AF199:AF202"/>
    <mergeCell ref="AG199:AG202"/>
    <mergeCell ref="AH199:AH202"/>
    <mergeCell ref="J201:K202"/>
    <mergeCell ref="P201:P202"/>
    <mergeCell ref="X199:X202"/>
    <mergeCell ref="K199:K200"/>
    <mergeCell ref="L199:L202"/>
    <mergeCell ref="M199:M202"/>
    <mergeCell ref="N199:N202"/>
    <mergeCell ref="O199:O202"/>
    <mergeCell ref="P199:P200"/>
    <mergeCell ref="J199:J200"/>
    <mergeCell ref="AE195:AE198"/>
    <mergeCell ref="AF195:AF198"/>
    <mergeCell ref="AG195:AG198"/>
    <mergeCell ref="AH195:AH198"/>
    <mergeCell ref="J197:K198"/>
    <mergeCell ref="AB195:AB198"/>
    <mergeCell ref="AC195:AC198"/>
    <mergeCell ref="AD195:AD198"/>
    <mergeCell ref="A187:A190"/>
    <mergeCell ref="B187:B190"/>
    <mergeCell ref="C187:C190"/>
    <mergeCell ref="D187:D190"/>
    <mergeCell ref="I187:I190"/>
    <mergeCell ref="P187:P188"/>
    <mergeCell ref="P189:P190"/>
    <mergeCell ref="AC187:AC190"/>
    <mergeCell ref="AD187:AD190"/>
    <mergeCell ref="AE187:AE190"/>
    <mergeCell ref="AD183:AD186"/>
    <mergeCell ref="AF183:AF186"/>
    <mergeCell ref="I195:I198"/>
    <mergeCell ref="P193:P194"/>
    <mergeCell ref="P195:P196"/>
    <mergeCell ref="P197:P198"/>
    <mergeCell ref="A191:A194"/>
    <mergeCell ref="B191:B194"/>
    <mergeCell ref="C191:C194"/>
    <mergeCell ref="D191:D194"/>
    <mergeCell ref="I191:I194"/>
    <mergeCell ref="AF191:AF194"/>
    <mergeCell ref="AH187:AH190"/>
    <mergeCell ref="V187:V190"/>
    <mergeCell ref="W187:W190"/>
    <mergeCell ref="X187:X190"/>
    <mergeCell ref="Y187:Y190"/>
    <mergeCell ref="Z187:Z190"/>
    <mergeCell ref="AB187:AB190"/>
    <mergeCell ref="R187:R190"/>
    <mergeCell ref="S187:S190"/>
    <mergeCell ref="T187:T190"/>
    <mergeCell ref="J187:J188"/>
    <mergeCell ref="K187:K188"/>
    <mergeCell ref="L187:L190"/>
    <mergeCell ref="M187:M190"/>
    <mergeCell ref="N187:N190"/>
    <mergeCell ref="O187:O190"/>
    <mergeCell ref="J189:K190"/>
    <mergeCell ref="A183:A186"/>
    <mergeCell ref="B183:B186"/>
    <mergeCell ref="C183:C186"/>
    <mergeCell ref="D183:D186"/>
    <mergeCell ref="I183:I186"/>
    <mergeCell ref="J183:J184"/>
    <mergeCell ref="Y72:Y75"/>
    <mergeCell ref="Z72:Z75"/>
    <mergeCell ref="AB72:AB75"/>
    <mergeCell ref="AC72:AC75"/>
    <mergeCell ref="AD72:AD75"/>
    <mergeCell ref="AE72:AE75"/>
    <mergeCell ref="R72:R75"/>
    <mergeCell ref="S72:S75"/>
    <mergeCell ref="T72:T75"/>
    <mergeCell ref="V72:V75"/>
    <mergeCell ref="W72:W75"/>
    <mergeCell ref="X72:X75"/>
    <mergeCell ref="K72:K73"/>
    <mergeCell ref="L72:L75"/>
    <mergeCell ref="AA76:AA79"/>
    <mergeCell ref="P72:P75"/>
    <mergeCell ref="P76:P79"/>
    <mergeCell ref="N171:N174"/>
    <mergeCell ref="A104:A107"/>
    <mergeCell ref="J173:K174"/>
    <mergeCell ref="A80:A83"/>
    <mergeCell ref="B80:B83"/>
    <mergeCell ref="C80:C83"/>
    <mergeCell ref="D80:D83"/>
    <mergeCell ref="I80:I83"/>
    <mergeCell ref="J80:J81"/>
    <mergeCell ref="AG183:AG186"/>
    <mergeCell ref="AH183:AH186"/>
    <mergeCell ref="J185:K186"/>
    <mergeCell ref="W183:W186"/>
    <mergeCell ref="X183:X186"/>
    <mergeCell ref="Y183:Y186"/>
    <mergeCell ref="Z183:Z186"/>
    <mergeCell ref="AB183:AB186"/>
    <mergeCell ref="AC183:AC186"/>
    <mergeCell ref="R183:R186"/>
    <mergeCell ref="S183:S186"/>
    <mergeCell ref="T183:T186"/>
    <mergeCell ref="V183:V186"/>
    <mergeCell ref="K183:K184"/>
    <mergeCell ref="L183:L186"/>
    <mergeCell ref="M183:M186"/>
    <mergeCell ref="N183:N186"/>
    <mergeCell ref="O183:O186"/>
    <mergeCell ref="A139:A142"/>
    <mergeCell ref="B139:B142"/>
    <mergeCell ref="C139:C142"/>
    <mergeCell ref="D139:D142"/>
    <mergeCell ref="I139:I142"/>
    <mergeCell ref="D96:D99"/>
    <mergeCell ref="I96:I99"/>
    <mergeCell ref="L96:L99"/>
    <mergeCell ref="N96:N99"/>
    <mergeCell ref="O96:O99"/>
    <mergeCell ref="P96:P99"/>
    <mergeCell ref="M147:M150"/>
    <mergeCell ref="Q147:Q150"/>
    <mergeCell ref="AA72:AA75"/>
    <mergeCell ref="Z76:Z79"/>
    <mergeCell ref="A124:A127"/>
    <mergeCell ref="AE139:AE142"/>
    <mergeCell ref="A84:A87"/>
    <mergeCell ref="AB112:AB115"/>
    <mergeCell ref="AC112:AC115"/>
    <mergeCell ref="R112:R115"/>
    <mergeCell ref="K80:K81"/>
    <mergeCell ref="L80:L83"/>
    <mergeCell ref="N80:N83"/>
    <mergeCell ref="O80:O83"/>
    <mergeCell ref="A92:A95"/>
    <mergeCell ref="B92:B95"/>
    <mergeCell ref="C92:C95"/>
    <mergeCell ref="Q76:Q79"/>
    <mergeCell ref="Q72:Q75"/>
    <mergeCell ref="Q84:Q87"/>
    <mergeCell ref="U72:U75"/>
    <mergeCell ref="AE76:AE79"/>
    <mergeCell ref="AH68:AH71"/>
    <mergeCell ref="V68:V71"/>
    <mergeCell ref="W68:W71"/>
    <mergeCell ref="X68:X71"/>
    <mergeCell ref="Y68:Y71"/>
    <mergeCell ref="Z68:Z71"/>
    <mergeCell ref="AB68:AB71"/>
    <mergeCell ref="R68:R71"/>
    <mergeCell ref="S68:S71"/>
    <mergeCell ref="T68:T71"/>
    <mergeCell ref="J68:J69"/>
    <mergeCell ref="K68:K69"/>
    <mergeCell ref="L68:L71"/>
    <mergeCell ref="N68:N71"/>
    <mergeCell ref="O68:O71"/>
    <mergeCell ref="A68:A71"/>
    <mergeCell ref="AA68:AA71"/>
    <mergeCell ref="J70:K71"/>
    <mergeCell ref="AF76:AF79"/>
    <mergeCell ref="AG76:AG79"/>
    <mergeCell ref="P68:P71"/>
    <mergeCell ref="U76:U79"/>
    <mergeCell ref="A72:A75"/>
    <mergeCell ref="B72:B75"/>
    <mergeCell ref="C72:C75"/>
    <mergeCell ref="D72:D75"/>
    <mergeCell ref="I72:I75"/>
    <mergeCell ref="J72:J73"/>
    <mergeCell ref="A76:A79"/>
    <mergeCell ref="B76:B79"/>
    <mergeCell ref="C76:C79"/>
    <mergeCell ref="D76:D79"/>
    <mergeCell ref="I76:I79"/>
    <mergeCell ref="J76:J77"/>
    <mergeCell ref="K76:K77"/>
    <mergeCell ref="L76:L79"/>
    <mergeCell ref="AB76:AB79"/>
    <mergeCell ref="AC76:AC79"/>
    <mergeCell ref="AD76:AD79"/>
    <mergeCell ref="B167:B170"/>
    <mergeCell ref="C167:C170"/>
    <mergeCell ref="D167:D170"/>
    <mergeCell ref="I167:I170"/>
    <mergeCell ref="J167:J168"/>
    <mergeCell ref="J171:J172"/>
    <mergeCell ref="K171:K172"/>
    <mergeCell ref="L171:L174"/>
    <mergeCell ref="I155:I158"/>
    <mergeCell ref="L56:L59"/>
    <mergeCell ref="N56:N59"/>
    <mergeCell ref="O56:O59"/>
    <mergeCell ref="J58:K59"/>
    <mergeCell ref="AA56:AA59"/>
    <mergeCell ref="AA60:AA63"/>
    <mergeCell ref="AG56:AG59"/>
    <mergeCell ref="AH56:AH59"/>
    <mergeCell ref="V56:V59"/>
    <mergeCell ref="W56:W59"/>
    <mergeCell ref="X56:X59"/>
    <mergeCell ref="AB56:AB59"/>
    <mergeCell ref="R56:R59"/>
    <mergeCell ref="B68:B71"/>
    <mergeCell ref="C68:C71"/>
    <mergeCell ref="D68:D71"/>
    <mergeCell ref="I68:I71"/>
    <mergeCell ref="AC56:AC59"/>
    <mergeCell ref="AD56:AD59"/>
    <mergeCell ref="AE56:AE59"/>
    <mergeCell ref="AF56:AF59"/>
    <mergeCell ref="S64:S67"/>
    <mergeCell ref="T64:T67"/>
    <mergeCell ref="W76:W79"/>
    <mergeCell ref="X76:X79"/>
    <mergeCell ref="Y76:Y79"/>
    <mergeCell ref="J179:J180"/>
    <mergeCell ref="K179:K180"/>
    <mergeCell ref="L179:L182"/>
    <mergeCell ref="M179:M182"/>
    <mergeCell ref="N179:N182"/>
    <mergeCell ref="O179:O182"/>
    <mergeCell ref="J181:K182"/>
    <mergeCell ref="P181:P182"/>
    <mergeCell ref="P183:P184"/>
    <mergeCell ref="P185:P186"/>
    <mergeCell ref="P179:P180"/>
    <mergeCell ref="B195:B198"/>
    <mergeCell ref="C195:C198"/>
    <mergeCell ref="D195:D198"/>
    <mergeCell ref="B124:B127"/>
    <mergeCell ref="C124:C127"/>
    <mergeCell ref="D124:D127"/>
    <mergeCell ref="I124:I127"/>
    <mergeCell ref="J124:J125"/>
    <mergeCell ref="K124:K125"/>
    <mergeCell ref="P108:P111"/>
    <mergeCell ref="P112:P115"/>
    <mergeCell ref="P116:P119"/>
    <mergeCell ref="P120:P123"/>
    <mergeCell ref="B84:B87"/>
    <mergeCell ref="C84:C87"/>
    <mergeCell ref="D84:D87"/>
    <mergeCell ref="I84:I87"/>
    <mergeCell ref="J84:J85"/>
    <mergeCell ref="V48:V51"/>
    <mergeCell ref="K48:K49"/>
    <mergeCell ref="L48:L51"/>
    <mergeCell ref="M48:M51"/>
    <mergeCell ref="N48:N51"/>
    <mergeCell ref="O48:O51"/>
    <mergeCell ref="J96:J97"/>
    <mergeCell ref="K96:K97"/>
    <mergeCell ref="S56:S59"/>
    <mergeCell ref="T56:T59"/>
    <mergeCell ref="J56:J57"/>
    <mergeCell ref="K56:K57"/>
    <mergeCell ref="N76:N79"/>
    <mergeCell ref="O76:O79"/>
    <mergeCell ref="R76:R79"/>
    <mergeCell ref="S76:S79"/>
    <mergeCell ref="T76:T79"/>
    <mergeCell ref="V76:V79"/>
    <mergeCell ref="V64:V67"/>
    <mergeCell ref="K60:K61"/>
    <mergeCell ref="L60:L63"/>
    <mergeCell ref="N60:N63"/>
    <mergeCell ref="O60:O63"/>
    <mergeCell ref="R64:R67"/>
    <mergeCell ref="J52:J53"/>
    <mergeCell ref="J60:J61"/>
    <mergeCell ref="J54:K55"/>
    <mergeCell ref="N72:N75"/>
    <mergeCell ref="O72:O75"/>
    <mergeCell ref="R60:R63"/>
    <mergeCell ref="P52:P55"/>
    <mergeCell ref="P56:P59"/>
    <mergeCell ref="AA48:AA51"/>
    <mergeCell ref="AA52:AA55"/>
    <mergeCell ref="AE48:AE51"/>
    <mergeCell ref="AF48:AF51"/>
    <mergeCell ref="AG48:AG51"/>
    <mergeCell ref="AH48:AH51"/>
    <mergeCell ref="J50:K51"/>
    <mergeCell ref="W48:W51"/>
    <mergeCell ref="X48:X51"/>
    <mergeCell ref="Y48:Y51"/>
    <mergeCell ref="Z48:Z51"/>
    <mergeCell ref="AB48:AB51"/>
    <mergeCell ref="AC124:AC127"/>
    <mergeCell ref="AD124:AD127"/>
    <mergeCell ref="AE124:AE127"/>
    <mergeCell ref="J126:K127"/>
    <mergeCell ref="U129:Y130"/>
    <mergeCell ref="T124:T127"/>
    <mergeCell ref="V124:V127"/>
    <mergeCell ref="W124:W127"/>
    <mergeCell ref="X124:X127"/>
    <mergeCell ref="AB124:AB127"/>
    <mergeCell ref="L124:L127"/>
    <mergeCell ref="N124:N127"/>
    <mergeCell ref="O124:O127"/>
    <mergeCell ref="P124:P127"/>
    <mergeCell ref="R124:R127"/>
    <mergeCell ref="S124:S127"/>
    <mergeCell ref="AC48:AC51"/>
    <mergeCell ref="R48:R51"/>
    <mergeCell ref="S48:S51"/>
    <mergeCell ref="T48:T51"/>
    <mergeCell ref="AF139:AF142"/>
    <mergeCell ref="AG139:AG142"/>
    <mergeCell ref="AH139:AH142"/>
    <mergeCell ref="J141:K142"/>
    <mergeCell ref="P141:P142"/>
    <mergeCell ref="X139:X142"/>
    <mergeCell ref="Y139:Y142"/>
    <mergeCell ref="Z139:Z142"/>
    <mergeCell ref="AB139:AB142"/>
    <mergeCell ref="AC139:AC142"/>
    <mergeCell ref="AD139:AD142"/>
    <mergeCell ref="P139:P140"/>
    <mergeCell ref="R139:R142"/>
    <mergeCell ref="S139:S142"/>
    <mergeCell ref="T139:T142"/>
    <mergeCell ref="V139:V142"/>
    <mergeCell ref="W139:W142"/>
    <mergeCell ref="J139:J140"/>
    <mergeCell ref="K139:K140"/>
    <mergeCell ref="L139:L142"/>
    <mergeCell ref="M139:M142"/>
    <mergeCell ref="N139:N142"/>
    <mergeCell ref="O139:O142"/>
    <mergeCell ref="AA139:AA142"/>
    <mergeCell ref="AH92:AH95"/>
    <mergeCell ref="A88:A91"/>
    <mergeCell ref="B88:B91"/>
    <mergeCell ref="C88:C91"/>
    <mergeCell ref="D88:D91"/>
    <mergeCell ref="I88:I91"/>
    <mergeCell ref="AD84:AD87"/>
    <mergeCell ref="AE84:AE87"/>
    <mergeCell ref="R84:R87"/>
    <mergeCell ref="S84:S87"/>
    <mergeCell ref="T84:T87"/>
    <mergeCell ref="V84:V87"/>
    <mergeCell ref="B104:B107"/>
    <mergeCell ref="C104:C107"/>
    <mergeCell ref="D104:D107"/>
    <mergeCell ref="I104:I107"/>
    <mergeCell ref="J104:J105"/>
    <mergeCell ref="K104:K105"/>
    <mergeCell ref="L104:L107"/>
    <mergeCell ref="N104:N107"/>
    <mergeCell ref="O104:O107"/>
    <mergeCell ref="P104:P107"/>
    <mergeCell ref="R104:R107"/>
    <mergeCell ref="S104:S107"/>
    <mergeCell ref="T104:T107"/>
    <mergeCell ref="V104:V107"/>
    <mergeCell ref="W104:W107"/>
    <mergeCell ref="X104:X107"/>
    <mergeCell ref="AA104:AA107"/>
    <mergeCell ref="AB104:AB107"/>
    <mergeCell ref="AC104:AC107"/>
    <mergeCell ref="U84:U87"/>
    <mergeCell ref="A108:A111"/>
    <mergeCell ref="B108:B111"/>
    <mergeCell ref="C108:C111"/>
    <mergeCell ref="D108:D111"/>
    <mergeCell ref="I108:I111"/>
    <mergeCell ref="A100:A103"/>
    <mergeCell ref="B100:B103"/>
    <mergeCell ref="C100:C103"/>
    <mergeCell ref="D100:D103"/>
    <mergeCell ref="I100:I103"/>
    <mergeCell ref="P100:P103"/>
    <mergeCell ref="R100:R103"/>
    <mergeCell ref="S100:S103"/>
    <mergeCell ref="AA84:AA87"/>
    <mergeCell ref="AA88:AA91"/>
    <mergeCell ref="AA108:AA111"/>
    <mergeCell ref="AA112:AA115"/>
    <mergeCell ref="A96:A99"/>
    <mergeCell ref="B96:B99"/>
    <mergeCell ref="C96:C99"/>
    <mergeCell ref="P84:P87"/>
    <mergeCell ref="W112:W115"/>
    <mergeCell ref="X112:X115"/>
    <mergeCell ref="S112:S115"/>
    <mergeCell ref="T112:T115"/>
    <mergeCell ref="V112:V115"/>
    <mergeCell ref="K112:K113"/>
    <mergeCell ref="L112:L115"/>
    <mergeCell ref="N112:N115"/>
    <mergeCell ref="J114:K115"/>
    <mergeCell ref="AH72:AH75"/>
    <mergeCell ref="J74:K75"/>
    <mergeCell ref="AB52:AB55"/>
    <mergeCell ref="AC52:AC55"/>
    <mergeCell ref="AD52:AD55"/>
    <mergeCell ref="AE52:AE55"/>
    <mergeCell ref="R52:R55"/>
    <mergeCell ref="S52:S55"/>
    <mergeCell ref="T52:T55"/>
    <mergeCell ref="V52:V55"/>
    <mergeCell ref="W52:W55"/>
    <mergeCell ref="X52:X55"/>
    <mergeCell ref="K52:K53"/>
    <mergeCell ref="L52:L55"/>
    <mergeCell ref="N52:N55"/>
    <mergeCell ref="O52:O55"/>
    <mergeCell ref="S60:S63"/>
    <mergeCell ref="T60:T63"/>
    <mergeCell ref="V60:V63"/>
    <mergeCell ref="X60:X63"/>
    <mergeCell ref="Y60:Y63"/>
    <mergeCell ref="Z60:Z63"/>
    <mergeCell ref="AB60:AB63"/>
    <mergeCell ref="AC60:AC63"/>
    <mergeCell ref="AA64:AA67"/>
    <mergeCell ref="P60:P63"/>
    <mergeCell ref="P64:P67"/>
    <mergeCell ref="Q60:Q63"/>
    <mergeCell ref="U60:U63"/>
    <mergeCell ref="Q64:Q67"/>
    <mergeCell ref="U64:U67"/>
    <mergeCell ref="A120:A123"/>
    <mergeCell ref="B120:B123"/>
    <mergeCell ref="C120:C123"/>
    <mergeCell ref="D120:D123"/>
    <mergeCell ref="I120:I123"/>
    <mergeCell ref="J120:J121"/>
    <mergeCell ref="A48:A51"/>
    <mergeCell ref="B48:B51"/>
    <mergeCell ref="C48:C51"/>
    <mergeCell ref="D48:D51"/>
    <mergeCell ref="I48:I51"/>
    <mergeCell ref="J48:J49"/>
    <mergeCell ref="AE68:AE71"/>
    <mergeCell ref="AF68:AF71"/>
    <mergeCell ref="AG68:AG71"/>
    <mergeCell ref="AG60:AG63"/>
    <mergeCell ref="J62:K63"/>
    <mergeCell ref="W60:W63"/>
    <mergeCell ref="J66:K67"/>
    <mergeCell ref="Y64:Y67"/>
    <mergeCell ref="Z64:Z67"/>
    <mergeCell ref="AF72:AF75"/>
    <mergeCell ref="AG72:AG75"/>
    <mergeCell ref="AF116:AF119"/>
    <mergeCell ref="AG116:AG119"/>
    <mergeCell ref="O112:O115"/>
    <mergeCell ref="A112:A115"/>
    <mergeCell ref="B112:B115"/>
    <mergeCell ref="C112:C115"/>
    <mergeCell ref="D112:D115"/>
    <mergeCell ref="I112:I115"/>
    <mergeCell ref="J112:J113"/>
    <mergeCell ref="AI120:AI123"/>
    <mergeCell ref="J122:K123"/>
    <mergeCell ref="Y112:Y115"/>
    <mergeCell ref="Z112:Z115"/>
    <mergeCell ref="AB120:AB123"/>
    <mergeCell ref="AC120:AC123"/>
    <mergeCell ref="AD120:AD123"/>
    <mergeCell ref="AE120:AE123"/>
    <mergeCell ref="R120:R123"/>
    <mergeCell ref="S120:S123"/>
    <mergeCell ref="T120:T123"/>
    <mergeCell ref="V120:V123"/>
    <mergeCell ref="W120:W123"/>
    <mergeCell ref="X120:X123"/>
    <mergeCell ref="K120:K121"/>
    <mergeCell ref="L120:L123"/>
    <mergeCell ref="N120:N123"/>
    <mergeCell ref="O120:O123"/>
    <mergeCell ref="AH116:AH119"/>
    <mergeCell ref="AA116:AA119"/>
    <mergeCell ref="AF120:AF123"/>
    <mergeCell ref="AG120:AG123"/>
    <mergeCell ref="AH120:AH123"/>
    <mergeCell ref="U120:U123"/>
    <mergeCell ref="C116:C119"/>
    <mergeCell ref="D116:D119"/>
    <mergeCell ref="I116:I119"/>
    <mergeCell ref="J116:J117"/>
    <mergeCell ref="AD112:AD115"/>
    <mergeCell ref="AE112:AE115"/>
    <mergeCell ref="AF112:AF115"/>
    <mergeCell ref="AG112:AG115"/>
    <mergeCell ref="AH112:AH115"/>
    <mergeCell ref="AI112:AI115"/>
    <mergeCell ref="AF108:AF111"/>
    <mergeCell ref="AG108:AG111"/>
    <mergeCell ref="AH108:AH111"/>
    <mergeCell ref="AI108:AI111"/>
    <mergeCell ref="J110:K111"/>
    <mergeCell ref="Y100:Y103"/>
    <mergeCell ref="Z100:Z103"/>
    <mergeCell ref="AB108:AB111"/>
    <mergeCell ref="AC108:AC111"/>
    <mergeCell ref="AD108:AD111"/>
    <mergeCell ref="AE108:AE111"/>
    <mergeCell ref="R108:R111"/>
    <mergeCell ref="S108:S111"/>
    <mergeCell ref="T108:T111"/>
    <mergeCell ref="V108:V111"/>
    <mergeCell ref="W108:W111"/>
    <mergeCell ref="X108:X111"/>
    <mergeCell ref="K108:K109"/>
    <mergeCell ref="L108:L111"/>
    <mergeCell ref="N108:N111"/>
    <mergeCell ref="O108:O111"/>
    <mergeCell ref="AI116:AI119"/>
    <mergeCell ref="J118:K119"/>
    <mergeCell ref="Y108:Y111"/>
    <mergeCell ref="Z108:Z111"/>
    <mergeCell ref="AF84:AF87"/>
    <mergeCell ref="AG84:AG87"/>
    <mergeCell ref="AH84:AH87"/>
    <mergeCell ref="AB116:AB119"/>
    <mergeCell ref="AC116:AC119"/>
    <mergeCell ref="AD116:AD119"/>
    <mergeCell ref="AE116:AE119"/>
    <mergeCell ref="R116:R119"/>
    <mergeCell ref="S116:S119"/>
    <mergeCell ref="T116:T119"/>
    <mergeCell ref="V116:V119"/>
    <mergeCell ref="W116:W119"/>
    <mergeCell ref="X116:X119"/>
    <mergeCell ref="K116:K117"/>
    <mergeCell ref="L116:L119"/>
    <mergeCell ref="N116:N119"/>
    <mergeCell ref="O116:O119"/>
    <mergeCell ref="W84:W87"/>
    <mergeCell ref="X84:X87"/>
    <mergeCell ref="K84:K85"/>
    <mergeCell ref="L84:L87"/>
    <mergeCell ref="N84:N87"/>
    <mergeCell ref="O84:O87"/>
    <mergeCell ref="AB92:AB95"/>
    <mergeCell ref="AD92:AD95"/>
    <mergeCell ref="AE92:AE95"/>
    <mergeCell ref="AF92:AF95"/>
    <mergeCell ref="AG92:AG95"/>
    <mergeCell ref="AI100:AI103"/>
    <mergeCell ref="J102:K103"/>
    <mergeCell ref="J100:J101"/>
    <mergeCell ref="K100:K101"/>
    <mergeCell ref="L100:L103"/>
    <mergeCell ref="N100:N103"/>
    <mergeCell ref="O100:O103"/>
    <mergeCell ref="AB88:AB91"/>
    <mergeCell ref="AC88:AC91"/>
    <mergeCell ref="R88:R91"/>
    <mergeCell ref="S88:S91"/>
    <mergeCell ref="T88:T91"/>
    <mergeCell ref="V88:V91"/>
    <mergeCell ref="K88:K89"/>
    <mergeCell ref="L88:L91"/>
    <mergeCell ref="N88:N91"/>
    <mergeCell ref="O88:O91"/>
    <mergeCell ref="P88:P91"/>
    <mergeCell ref="J90:K91"/>
    <mergeCell ref="R96:R99"/>
    <mergeCell ref="S96:S99"/>
    <mergeCell ref="T96:T99"/>
    <mergeCell ref="AB100:AB103"/>
    <mergeCell ref="AC100:AC103"/>
    <mergeCell ref="T100:T103"/>
    <mergeCell ref="J88:J89"/>
    <mergeCell ref="AH88:AH91"/>
    <mergeCell ref="AI88:AI91"/>
    <mergeCell ref="P92:P95"/>
    <mergeCell ref="R92:R95"/>
    <mergeCell ref="S92:S95"/>
    <mergeCell ref="T92:T95"/>
    <mergeCell ref="AI163:AI166"/>
    <mergeCell ref="W163:W166"/>
    <mergeCell ref="X163:X166"/>
    <mergeCell ref="A155:A158"/>
    <mergeCell ref="B155:B158"/>
    <mergeCell ref="C155:C158"/>
    <mergeCell ref="D155:D158"/>
    <mergeCell ref="AC92:AC95"/>
    <mergeCell ref="AD100:AD103"/>
    <mergeCell ref="AE100:AE103"/>
    <mergeCell ref="AI84:AI87"/>
    <mergeCell ref="J86:K87"/>
    <mergeCell ref="AB84:AB87"/>
    <mergeCell ref="AC84:AC87"/>
    <mergeCell ref="AI92:AI95"/>
    <mergeCell ref="V96:V99"/>
    <mergeCell ref="W96:W99"/>
    <mergeCell ref="X96:X99"/>
    <mergeCell ref="Y88:Y91"/>
    <mergeCell ref="Z88:Z91"/>
    <mergeCell ref="AA96:AA99"/>
    <mergeCell ref="AB96:AB99"/>
    <mergeCell ref="AC96:AC99"/>
    <mergeCell ref="AD96:AD99"/>
    <mergeCell ref="AE96:AE99"/>
    <mergeCell ref="AF96:AF99"/>
    <mergeCell ref="AG96:AG99"/>
    <mergeCell ref="AH96:AH99"/>
    <mergeCell ref="AI96:AI99"/>
    <mergeCell ref="J98:K99"/>
    <mergeCell ref="J108:J109"/>
    <mergeCell ref="AD88:AD91"/>
    <mergeCell ref="AI80:AI83"/>
    <mergeCell ref="J82:K83"/>
    <mergeCell ref="Y155:Y158"/>
    <mergeCell ref="Z155:Z158"/>
    <mergeCell ref="Y167:Y170"/>
    <mergeCell ref="Z167:Z170"/>
    <mergeCell ref="Y171:Y174"/>
    <mergeCell ref="Z171:Z174"/>
    <mergeCell ref="Y80:Y83"/>
    <mergeCell ref="Z80:Z83"/>
    <mergeCell ref="AI155:AI158"/>
    <mergeCell ref="J157:K158"/>
    <mergeCell ref="AD171:AD174"/>
    <mergeCell ref="AE171:AE174"/>
    <mergeCell ref="AF171:AF174"/>
    <mergeCell ref="AG171:AG174"/>
    <mergeCell ref="AH171:AH174"/>
    <mergeCell ref="AI171:AI174"/>
    <mergeCell ref="AA155:AA158"/>
    <mergeCell ref="AA167:AA170"/>
    <mergeCell ref="P80:P83"/>
    <mergeCell ref="R80:R83"/>
    <mergeCell ref="S80:S83"/>
    <mergeCell ref="T80:T83"/>
    <mergeCell ref="V80:V83"/>
    <mergeCell ref="W80:W83"/>
    <mergeCell ref="X80:X83"/>
    <mergeCell ref="AA80:AA83"/>
    <mergeCell ref="AH167:AH170"/>
    <mergeCell ref="AI167:AI170"/>
    <mergeCell ref="W167:W170"/>
    <mergeCell ref="X167:X170"/>
    <mergeCell ref="AG88:AG91"/>
    <mergeCell ref="W88:W91"/>
    <mergeCell ref="X88:X91"/>
    <mergeCell ref="AF155:AF158"/>
    <mergeCell ref="AG155:AG158"/>
    <mergeCell ref="A171:A174"/>
    <mergeCell ref="B171:B174"/>
    <mergeCell ref="C171:C174"/>
    <mergeCell ref="D171:D174"/>
    <mergeCell ref="I171:I174"/>
    <mergeCell ref="O171:O174"/>
    <mergeCell ref="P171:P174"/>
    <mergeCell ref="AD80:AD83"/>
    <mergeCell ref="AE80:AE83"/>
    <mergeCell ref="AF80:AF83"/>
    <mergeCell ref="AG80:AG83"/>
    <mergeCell ref="AH80:AH83"/>
    <mergeCell ref="AH155:AH158"/>
    <mergeCell ref="AD163:AD166"/>
    <mergeCell ref="AE163:AE166"/>
    <mergeCell ref="AF163:AF166"/>
    <mergeCell ref="AG163:AG166"/>
    <mergeCell ref="AH163:AH166"/>
    <mergeCell ref="AE88:AE91"/>
    <mergeCell ref="AF88:AF91"/>
    <mergeCell ref="AF100:AF103"/>
    <mergeCell ref="AG100:AG103"/>
    <mergeCell ref="AH100:AH103"/>
    <mergeCell ref="V92:V95"/>
    <mergeCell ref="W92:W95"/>
    <mergeCell ref="A116:A119"/>
    <mergeCell ref="B116:B119"/>
    <mergeCell ref="AB167:AB170"/>
    <mergeCell ref="AC167:AC170"/>
    <mergeCell ref="R167:R170"/>
    <mergeCell ref="S167:S170"/>
    <mergeCell ref="T167:T170"/>
    <mergeCell ref="V167:V170"/>
    <mergeCell ref="K167:K168"/>
    <mergeCell ref="L167:L170"/>
    <mergeCell ref="N167:N170"/>
    <mergeCell ref="O167:O170"/>
    <mergeCell ref="P167:P170"/>
    <mergeCell ref="J169:K170"/>
    <mergeCell ref="A167:A170"/>
    <mergeCell ref="AB155:AB158"/>
    <mergeCell ref="AC155:AC158"/>
    <mergeCell ref="AD155:AD158"/>
    <mergeCell ref="AE155:AE158"/>
    <mergeCell ref="R155:R158"/>
    <mergeCell ref="S155:S158"/>
    <mergeCell ref="T155:T158"/>
    <mergeCell ref="V155:V158"/>
    <mergeCell ref="W155:W158"/>
    <mergeCell ref="X155:X158"/>
    <mergeCell ref="K155:K156"/>
    <mergeCell ref="L155:L158"/>
    <mergeCell ref="N155:N158"/>
    <mergeCell ref="O155:O158"/>
    <mergeCell ref="AB163:AB166"/>
    <mergeCell ref="AC163:AC166"/>
    <mergeCell ref="R163:R166"/>
    <mergeCell ref="S163:S166"/>
    <mergeCell ref="T163:T166"/>
    <mergeCell ref="AF207:AF210"/>
    <mergeCell ref="AE183:AE186"/>
    <mergeCell ref="AG203:AG206"/>
    <mergeCell ref="AE203:AE206"/>
    <mergeCell ref="R203:R206"/>
    <mergeCell ref="S203:S206"/>
    <mergeCell ref="T203:T206"/>
    <mergeCell ref="V203:V206"/>
    <mergeCell ref="W203:W206"/>
    <mergeCell ref="X203:X206"/>
    <mergeCell ref="AE207:AE210"/>
    <mergeCell ref="AA163:AA166"/>
    <mergeCell ref="W147:W150"/>
    <mergeCell ref="X147:X150"/>
    <mergeCell ref="K147:K148"/>
    <mergeCell ref="L147:L150"/>
    <mergeCell ref="N147:N150"/>
    <mergeCell ref="O147:O150"/>
    <mergeCell ref="P147:P150"/>
    <mergeCell ref="R147:R150"/>
    <mergeCell ref="R171:R174"/>
    <mergeCell ref="S171:S174"/>
    <mergeCell ref="T171:T174"/>
    <mergeCell ref="V171:V174"/>
    <mergeCell ref="W171:W174"/>
    <mergeCell ref="X171:X174"/>
    <mergeCell ref="AA171:AA174"/>
    <mergeCell ref="AB171:AB174"/>
    <mergeCell ref="AD167:AD170"/>
    <mergeCell ref="AE167:AE170"/>
    <mergeCell ref="AF167:AF170"/>
    <mergeCell ref="AG167:AG170"/>
    <mergeCell ref="AH147:AH150"/>
    <mergeCell ref="AI147:AI150"/>
    <mergeCell ref="A179:A182"/>
    <mergeCell ref="B179:B182"/>
    <mergeCell ref="C179:C182"/>
    <mergeCell ref="D179:D182"/>
    <mergeCell ref="I179:I182"/>
    <mergeCell ref="AF187:AF190"/>
    <mergeCell ref="AG187:AG190"/>
    <mergeCell ref="AB203:AB206"/>
    <mergeCell ref="AC203:AC206"/>
    <mergeCell ref="A44:A47"/>
    <mergeCell ref="B44:B47"/>
    <mergeCell ref="C44:C47"/>
    <mergeCell ref="D44:D47"/>
    <mergeCell ref="I44:I47"/>
    <mergeCell ref="J44:J45"/>
    <mergeCell ref="A163:A166"/>
    <mergeCell ref="B163:B166"/>
    <mergeCell ref="C163:C166"/>
    <mergeCell ref="D163:D166"/>
    <mergeCell ref="I163:I166"/>
    <mergeCell ref="J163:J164"/>
    <mergeCell ref="AA143:AA146"/>
    <mergeCell ref="A147:A150"/>
    <mergeCell ref="B147:B150"/>
    <mergeCell ref="C147:C150"/>
    <mergeCell ref="D147:D150"/>
    <mergeCell ref="I147:I150"/>
    <mergeCell ref="J147:J148"/>
    <mergeCell ref="AA147:AA150"/>
    <mergeCell ref="J149:K150"/>
    <mergeCell ref="AI215:AI218"/>
    <mergeCell ref="J217:K218"/>
    <mergeCell ref="P217:P218"/>
    <mergeCell ref="A219:A222"/>
    <mergeCell ref="B219:B222"/>
    <mergeCell ref="C219:C222"/>
    <mergeCell ref="AF143:AF146"/>
    <mergeCell ref="AG143:AG146"/>
    <mergeCell ref="AH143:AH146"/>
    <mergeCell ref="AI143:AI146"/>
    <mergeCell ref="J145:K146"/>
    <mergeCell ref="Y143:Y146"/>
    <mergeCell ref="Z143:Z146"/>
    <mergeCell ref="AB143:AB146"/>
    <mergeCell ref="AC143:AC146"/>
    <mergeCell ref="AD143:AD146"/>
    <mergeCell ref="AE143:AE146"/>
    <mergeCell ref="R143:R146"/>
    <mergeCell ref="S143:S146"/>
    <mergeCell ref="T143:T146"/>
    <mergeCell ref="V143:V146"/>
    <mergeCell ref="W143:W146"/>
    <mergeCell ref="X143:X146"/>
    <mergeCell ref="K143:K144"/>
    <mergeCell ref="L143:L146"/>
    <mergeCell ref="M143:M146"/>
    <mergeCell ref="N143:N146"/>
    <mergeCell ref="O143:O146"/>
    <mergeCell ref="AB147:AB150"/>
    <mergeCell ref="AC147:AC150"/>
    <mergeCell ref="AD147:AD150"/>
    <mergeCell ref="AE147:AE150"/>
    <mergeCell ref="A40:A43"/>
    <mergeCell ref="B40:B43"/>
    <mergeCell ref="C40:C43"/>
    <mergeCell ref="D40:D43"/>
    <mergeCell ref="I40:I43"/>
    <mergeCell ref="J40:J41"/>
    <mergeCell ref="AA40:AA43"/>
    <mergeCell ref="AA44:AA47"/>
    <mergeCell ref="AI48:AI51"/>
    <mergeCell ref="AI72:AI75"/>
    <mergeCell ref="AI179:AI182"/>
    <mergeCell ref="AI183:AI186"/>
    <mergeCell ref="AI187:AI190"/>
    <mergeCell ref="AI191:AI194"/>
    <mergeCell ref="AI195:AI198"/>
    <mergeCell ref="AI203:AI206"/>
    <mergeCell ref="AF52:AF55"/>
    <mergeCell ref="AG52:AG55"/>
    <mergeCell ref="AH179:AH182"/>
    <mergeCell ref="AB179:AB182"/>
    <mergeCell ref="AF203:AF206"/>
    <mergeCell ref="S147:S150"/>
    <mergeCell ref="T147:T150"/>
    <mergeCell ref="V147:V150"/>
    <mergeCell ref="A143:A146"/>
    <mergeCell ref="B143:B146"/>
    <mergeCell ref="C143:C146"/>
    <mergeCell ref="D143:D146"/>
    <mergeCell ref="I143:I146"/>
    <mergeCell ref="J143:J144"/>
    <mergeCell ref="AF147:AF150"/>
    <mergeCell ref="AG147:AG150"/>
    <mergeCell ref="AH40:AH43"/>
    <mergeCell ref="AI40:AI43"/>
    <mergeCell ref="W40:W43"/>
    <mergeCell ref="X40:X43"/>
    <mergeCell ref="Y40:Y43"/>
    <mergeCell ref="Z40:Z43"/>
    <mergeCell ref="AB40:AB43"/>
    <mergeCell ref="AC40:AC43"/>
    <mergeCell ref="Q40:Q43"/>
    <mergeCell ref="R40:R43"/>
    <mergeCell ref="S40:S43"/>
    <mergeCell ref="T40:T43"/>
    <mergeCell ref="U40:U43"/>
    <mergeCell ref="V40:V43"/>
    <mergeCell ref="K40:K41"/>
    <mergeCell ref="L40:L43"/>
    <mergeCell ref="M40:M43"/>
    <mergeCell ref="N40:N43"/>
    <mergeCell ref="O40:O43"/>
    <mergeCell ref="P40:P43"/>
    <mergeCell ref="J42:K43"/>
    <mergeCell ref="I33:I34"/>
    <mergeCell ref="J33:K33"/>
    <mergeCell ref="L33:L34"/>
    <mergeCell ref="M33:M34"/>
    <mergeCell ref="N33:N34"/>
    <mergeCell ref="O33:O34"/>
    <mergeCell ref="AD44:AD47"/>
    <mergeCell ref="AE44:AE47"/>
    <mergeCell ref="AF44:AF47"/>
    <mergeCell ref="AG44:AG47"/>
    <mergeCell ref="AH44:AH47"/>
    <mergeCell ref="AI44:AI47"/>
    <mergeCell ref="W44:W47"/>
    <mergeCell ref="X44:X47"/>
    <mergeCell ref="AB44:AB47"/>
    <mergeCell ref="AC44:AC47"/>
    <mergeCell ref="R44:R47"/>
    <mergeCell ref="S44:S47"/>
    <mergeCell ref="T44:T47"/>
    <mergeCell ref="V44:V47"/>
    <mergeCell ref="K44:K45"/>
    <mergeCell ref="L44:L47"/>
    <mergeCell ref="N44:N47"/>
    <mergeCell ref="O44:O47"/>
    <mergeCell ref="P44:P47"/>
    <mergeCell ref="J46:K47"/>
    <mergeCell ref="AA33:AA34"/>
    <mergeCell ref="AA36:AA39"/>
    <mergeCell ref="AD40:AD43"/>
    <mergeCell ref="AE40:AE43"/>
    <mergeCell ref="AF40:AF43"/>
    <mergeCell ref="AG40:AG43"/>
    <mergeCell ref="Z179:Z182"/>
    <mergeCell ref="R179:R182"/>
    <mergeCell ref="S179:S182"/>
    <mergeCell ref="T179:T182"/>
    <mergeCell ref="M191:M194"/>
    <mergeCell ref="J36:J37"/>
    <mergeCell ref="X33:X34"/>
    <mergeCell ref="Y33:Y34"/>
    <mergeCell ref="Z33:Z34"/>
    <mergeCell ref="J34:K34"/>
    <mergeCell ref="J35:K35"/>
    <mergeCell ref="P35:Q35"/>
    <mergeCell ref="P33:Q34"/>
    <mergeCell ref="R33:R35"/>
    <mergeCell ref="S33:S34"/>
    <mergeCell ref="T33:U33"/>
    <mergeCell ref="V33:V34"/>
    <mergeCell ref="W33:W34"/>
    <mergeCell ref="Y163:Y166"/>
    <mergeCell ref="Z163:Z166"/>
    <mergeCell ref="J94:K95"/>
    <mergeCell ref="X92:X95"/>
    <mergeCell ref="Y96:Y99"/>
    <mergeCell ref="Z96:Z99"/>
    <mergeCell ref="V163:V166"/>
    <mergeCell ref="K163:K164"/>
    <mergeCell ref="L163:L166"/>
    <mergeCell ref="N163:N166"/>
    <mergeCell ref="O163:O166"/>
    <mergeCell ref="P163:P166"/>
    <mergeCell ref="J165:K166"/>
    <mergeCell ref="J155:J156"/>
    <mergeCell ref="AI52:AI55"/>
    <mergeCell ref="AI56:AI59"/>
    <mergeCell ref="AI60:AI63"/>
    <mergeCell ref="AI64:AI67"/>
    <mergeCell ref="AI68:AI71"/>
    <mergeCell ref="AH60:AH63"/>
    <mergeCell ref="AC179:AC182"/>
    <mergeCell ref="AD179:AD182"/>
    <mergeCell ref="AE179:AE182"/>
    <mergeCell ref="AF179:AF182"/>
    <mergeCell ref="AG179:AG182"/>
    <mergeCell ref="I36:I39"/>
    <mergeCell ref="M44:M47"/>
    <mergeCell ref="Q44:Q47"/>
    <mergeCell ref="U44:U47"/>
    <mergeCell ref="Y44:Y47"/>
    <mergeCell ref="Z44:Z47"/>
    <mergeCell ref="P143:P146"/>
    <mergeCell ref="Q143:Q146"/>
    <mergeCell ref="U143:U146"/>
    <mergeCell ref="P155:P158"/>
    <mergeCell ref="Z56:Z59"/>
    <mergeCell ref="P48:P51"/>
    <mergeCell ref="Q48:Q51"/>
    <mergeCell ref="U48:U51"/>
    <mergeCell ref="Y56:Y59"/>
    <mergeCell ref="Y147:Y150"/>
    <mergeCell ref="Z147:Z150"/>
    <mergeCell ref="V179:V182"/>
    <mergeCell ref="W179:W182"/>
    <mergeCell ref="X179:X182"/>
    <mergeCell ref="Y179:Y182"/>
    <mergeCell ref="AB36:AB39"/>
    <mergeCell ref="AC36:AC39"/>
    <mergeCell ref="AD36:AD39"/>
    <mergeCell ref="AE36:AE39"/>
    <mergeCell ref="R36:R39"/>
    <mergeCell ref="S36:S39"/>
    <mergeCell ref="T36:T39"/>
    <mergeCell ref="V36:V39"/>
    <mergeCell ref="W36:W39"/>
    <mergeCell ref="X36:X39"/>
    <mergeCell ref="K36:K37"/>
    <mergeCell ref="L36:L39"/>
    <mergeCell ref="M36:M39"/>
    <mergeCell ref="N36:N39"/>
    <mergeCell ref="O36:O39"/>
    <mergeCell ref="P36:P37"/>
    <mergeCell ref="A36:A39"/>
    <mergeCell ref="B36:B39"/>
    <mergeCell ref="C36:C39"/>
    <mergeCell ref="D36:D39"/>
    <mergeCell ref="AD211:AD214"/>
    <mergeCell ref="AE211:AE214"/>
    <mergeCell ref="AF211:AF214"/>
    <mergeCell ref="AG211:AG214"/>
    <mergeCell ref="AH211:AH214"/>
    <mergeCell ref="AI211:AI214"/>
    <mergeCell ref="J213:K214"/>
    <mergeCell ref="P213:P214"/>
    <mergeCell ref="A215:A218"/>
    <mergeCell ref="B215:B218"/>
    <mergeCell ref="C215:C218"/>
    <mergeCell ref="D215:D218"/>
    <mergeCell ref="AH52:AH55"/>
    <mergeCell ref="AD60:AD63"/>
    <mergeCell ref="AE60:AE63"/>
    <mergeCell ref="AF60:AF63"/>
    <mergeCell ref="A32:D32"/>
    <mergeCell ref="E32:K32"/>
    <mergeCell ref="L32:O32"/>
    <mergeCell ref="P32:U32"/>
    <mergeCell ref="V32:Z32"/>
    <mergeCell ref="A33:A34"/>
    <mergeCell ref="B33:B34"/>
    <mergeCell ref="C33:C34"/>
    <mergeCell ref="D33:D34"/>
    <mergeCell ref="E33:H34"/>
    <mergeCell ref="AF36:AF39"/>
    <mergeCell ref="AG36:AG39"/>
    <mergeCell ref="AH36:AH39"/>
    <mergeCell ref="AI36:AI39"/>
    <mergeCell ref="J38:K39"/>
    <mergeCell ref="P38:P39"/>
    <mergeCell ref="AC223:AC226"/>
    <mergeCell ref="AD223:AD226"/>
    <mergeCell ref="AE223:AE226"/>
    <mergeCell ref="AF223:AF226"/>
    <mergeCell ref="AG223:AG226"/>
    <mergeCell ref="AH223:AH226"/>
    <mergeCell ref="AI223:AI226"/>
    <mergeCell ref="J225:K226"/>
    <mergeCell ref="P225:P226"/>
    <mergeCell ref="A211:A214"/>
    <mergeCell ref="B211:B214"/>
    <mergeCell ref="C211:C214"/>
    <mergeCell ref="D211:D214"/>
    <mergeCell ref="I211:I214"/>
    <mergeCell ref="J211:J212"/>
    <mergeCell ref="K211:K212"/>
    <mergeCell ref="L211:L214"/>
    <mergeCell ref="M211:M214"/>
    <mergeCell ref="N211:N214"/>
    <mergeCell ref="O211:O214"/>
    <mergeCell ref="P211:P212"/>
    <mergeCell ref="R211:R214"/>
    <mergeCell ref="S211:S214"/>
    <mergeCell ref="T211:T214"/>
    <mergeCell ref="V211:V214"/>
    <mergeCell ref="W211:W214"/>
    <mergeCell ref="X211:X214"/>
    <mergeCell ref="Y211:Y214"/>
    <mergeCell ref="Z211:Z214"/>
    <mergeCell ref="AA211:AA214"/>
    <mergeCell ref="AB211:AB214"/>
    <mergeCell ref="AC211:AC214"/>
    <mergeCell ref="AB219:AB222"/>
    <mergeCell ref="AC219:AC222"/>
    <mergeCell ref="AD219:AD222"/>
    <mergeCell ref="AE219:AE222"/>
    <mergeCell ref="AF219:AF222"/>
    <mergeCell ref="AG219:AG222"/>
    <mergeCell ref="AH219:AH222"/>
    <mergeCell ref="AI219:AI222"/>
    <mergeCell ref="J221:K222"/>
    <mergeCell ref="P221:P222"/>
    <mergeCell ref="A223:A226"/>
    <mergeCell ref="B223:B226"/>
    <mergeCell ref="C223:C226"/>
    <mergeCell ref="D223:D226"/>
    <mergeCell ref="I223:I226"/>
    <mergeCell ref="J223:J224"/>
    <mergeCell ref="K223:K224"/>
    <mergeCell ref="L223:L226"/>
    <mergeCell ref="M223:M226"/>
    <mergeCell ref="N223:N226"/>
    <mergeCell ref="O223:O226"/>
    <mergeCell ref="P223:P224"/>
    <mergeCell ref="R223:R226"/>
    <mergeCell ref="S223:S226"/>
    <mergeCell ref="T223:T226"/>
    <mergeCell ref="V223:V226"/>
    <mergeCell ref="W223:W226"/>
    <mergeCell ref="X223:X226"/>
    <mergeCell ref="Y223:Y226"/>
    <mergeCell ref="Z223:Z226"/>
    <mergeCell ref="AA223:AA226"/>
    <mergeCell ref="AB223:AB226"/>
    <mergeCell ref="M167:M170"/>
    <mergeCell ref="Q167:Q170"/>
    <mergeCell ref="U167:U170"/>
    <mergeCell ref="Z30:AA30"/>
    <mergeCell ref="D219:D222"/>
    <mergeCell ref="I219:I222"/>
    <mergeCell ref="J219:J220"/>
    <mergeCell ref="K219:K220"/>
    <mergeCell ref="L219:L222"/>
    <mergeCell ref="M219:M222"/>
    <mergeCell ref="N219:N222"/>
    <mergeCell ref="O219:O222"/>
    <mergeCell ref="P219:P220"/>
    <mergeCell ref="R219:R222"/>
    <mergeCell ref="S219:S222"/>
    <mergeCell ref="T219:T222"/>
    <mergeCell ref="V219:V222"/>
    <mergeCell ref="W219:W222"/>
    <mergeCell ref="X219:X222"/>
    <mergeCell ref="Y219:Y222"/>
    <mergeCell ref="Z219:Z222"/>
    <mergeCell ref="AA219:AA222"/>
    <mergeCell ref="Y36:Y39"/>
    <mergeCell ref="Z36:Z39"/>
    <mergeCell ref="X195:X198"/>
    <mergeCell ref="Y195:Y198"/>
    <mergeCell ref="Z195:Z198"/>
    <mergeCell ref="R195:R198"/>
    <mergeCell ref="S195:S198"/>
    <mergeCell ref="T195:T198"/>
    <mergeCell ref="V195:V198"/>
    <mergeCell ref="W195:W198"/>
  </mergeCells>
  <phoneticPr fontId="2"/>
  <pageMargins left="0.86614173228346458" right="0.47244094488188981" top="0.55118110236220474" bottom="0.55118110236220474" header="0.51181102362204722" footer="0.51181102362204722"/>
  <pageSetup paperSize="9" scale="73" orientation="landscape" r:id="rId1"/>
  <headerFooter alignWithMargins="0"/>
  <rowBreaks count="1" manualBreakCount="1">
    <brk id="138" max="2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"/>
  <sheetViews>
    <sheetView zoomScale="85" zoomScaleNormal="85" workbookViewId="0">
      <selection activeCell="O21" sqref="O21"/>
    </sheetView>
  </sheetViews>
  <sheetFormatPr defaultRowHeight="13.5" x14ac:dyDescent="0.15"/>
  <cols>
    <col min="2" max="2" width="11.625" bestFit="1" customWidth="1"/>
    <col min="4" max="23" width="4.625" customWidth="1"/>
    <col min="24" max="24" width="5.5" bestFit="1" customWidth="1"/>
    <col min="25" max="25" width="4.5" bestFit="1" customWidth="1"/>
    <col min="26" max="26" width="7.25" bestFit="1" customWidth="1"/>
    <col min="27" max="27" width="6.5" bestFit="1" customWidth="1"/>
    <col min="28" max="28" width="7.25" bestFit="1" customWidth="1"/>
    <col min="29" max="29" width="5.5" bestFit="1" customWidth="1"/>
    <col min="30" max="30" width="4.75" customWidth="1"/>
    <col min="31" max="31" width="3.375" bestFit="1" customWidth="1"/>
    <col min="32" max="32" width="4.5" customWidth="1"/>
    <col min="33" max="33" width="3.375" bestFit="1" customWidth="1"/>
  </cols>
  <sheetData>
    <row r="1" spans="1:24" x14ac:dyDescent="0.15">
      <c r="A1" t="s">
        <v>74</v>
      </c>
    </row>
    <row r="2" spans="1:24" x14ac:dyDescent="0.15">
      <c r="D2" s="92" t="s">
        <v>79</v>
      </c>
      <c r="E2" s="93">
        <v>4.8499999999999996</v>
      </c>
      <c r="F2" s="92" t="s">
        <v>150</v>
      </c>
      <c r="G2" s="93">
        <v>4.6500000000000004</v>
      </c>
      <c r="H2" s="92" t="s">
        <v>151</v>
      </c>
      <c r="I2" s="93">
        <v>4.5</v>
      </c>
      <c r="J2" s="92" t="s">
        <v>152</v>
      </c>
      <c r="K2" s="93">
        <v>4.5</v>
      </c>
      <c r="L2" s="92" t="s">
        <v>153</v>
      </c>
      <c r="M2" s="93">
        <v>4.5</v>
      </c>
      <c r="N2" s="92" t="s">
        <v>154</v>
      </c>
      <c r="O2" s="93">
        <v>4.5</v>
      </c>
      <c r="P2" s="92" t="s">
        <v>155</v>
      </c>
      <c r="Q2" s="93">
        <v>3</v>
      </c>
      <c r="R2" s="92" t="s">
        <v>76</v>
      </c>
      <c r="S2" s="93"/>
      <c r="T2" s="92"/>
      <c r="U2" s="93"/>
      <c r="V2" s="92" t="s">
        <v>148</v>
      </c>
      <c r="W2" s="93"/>
    </row>
    <row r="3" spans="1:24" x14ac:dyDescent="0.15">
      <c r="A3" s="88" t="s">
        <v>104</v>
      </c>
      <c r="B3" s="88" t="s">
        <v>149</v>
      </c>
      <c r="C3" s="88" t="s">
        <v>198</v>
      </c>
      <c r="D3" s="88" t="s">
        <v>105</v>
      </c>
      <c r="E3" s="88" t="s">
        <v>106</v>
      </c>
      <c r="F3" s="88" t="s">
        <v>105</v>
      </c>
      <c r="G3" s="88" t="s">
        <v>106</v>
      </c>
      <c r="H3" s="88" t="s">
        <v>105</v>
      </c>
      <c r="I3" s="88" t="s">
        <v>106</v>
      </c>
      <c r="J3" s="88" t="s">
        <v>105</v>
      </c>
      <c r="K3" s="88" t="s">
        <v>106</v>
      </c>
      <c r="L3" s="88" t="s">
        <v>105</v>
      </c>
      <c r="M3" s="88" t="s">
        <v>106</v>
      </c>
      <c r="N3" s="88" t="s">
        <v>105</v>
      </c>
      <c r="O3" s="88" t="s">
        <v>106</v>
      </c>
      <c r="P3" s="88" t="s">
        <v>105</v>
      </c>
      <c r="Q3" s="88" t="s">
        <v>106</v>
      </c>
      <c r="R3" s="88" t="s">
        <v>105</v>
      </c>
      <c r="S3" s="88" t="s">
        <v>106</v>
      </c>
      <c r="T3" s="88" t="s">
        <v>105</v>
      </c>
      <c r="U3" s="88" t="s">
        <v>106</v>
      </c>
      <c r="V3" s="88" t="s">
        <v>105</v>
      </c>
      <c r="W3" s="88" t="s">
        <v>106</v>
      </c>
      <c r="X3" s="136"/>
    </row>
    <row r="4" spans="1:24" x14ac:dyDescent="0.15">
      <c r="A4" s="88" t="s">
        <v>86</v>
      </c>
      <c r="B4" s="95">
        <f t="shared" ref="B4:B9" si="0">ROUNDUP(C4*1.1,0)</f>
        <v>67</v>
      </c>
      <c r="C4" s="94">
        <f t="shared" ref="C4:C9" si="1">+SUM(D4:AG4)</f>
        <v>60.5</v>
      </c>
      <c r="D4" s="94">
        <v>35.700000000000003</v>
      </c>
      <c r="E4" s="94">
        <v>3.9</v>
      </c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>
        <v>17</v>
      </c>
      <c r="W4" s="94">
        <v>3.9</v>
      </c>
    </row>
    <row r="5" spans="1:24" x14ac:dyDescent="0.15">
      <c r="A5" s="88" t="s">
        <v>87</v>
      </c>
      <c r="B5" s="95">
        <f t="shared" si="0"/>
        <v>74</v>
      </c>
      <c r="C5" s="94">
        <f t="shared" si="1"/>
        <v>66.399999999999991</v>
      </c>
      <c r="D5" s="94">
        <v>35.299999999999997</v>
      </c>
      <c r="E5" s="94"/>
      <c r="F5" s="94">
        <v>1.8</v>
      </c>
      <c r="G5" s="94">
        <f>4.7+3.7</f>
        <v>8.4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>
        <v>17</v>
      </c>
      <c r="W5" s="94">
        <v>3.9</v>
      </c>
    </row>
    <row r="6" spans="1:24" x14ac:dyDescent="0.15">
      <c r="A6" s="88" t="s">
        <v>156</v>
      </c>
      <c r="B6" s="95">
        <f t="shared" si="0"/>
        <v>78</v>
      </c>
      <c r="C6" s="94">
        <f t="shared" si="1"/>
        <v>70.7</v>
      </c>
      <c r="D6" s="94">
        <v>35.299999999999997</v>
      </c>
      <c r="E6" s="94"/>
      <c r="F6" s="94"/>
      <c r="G6" s="94">
        <v>4.7</v>
      </c>
      <c r="H6" s="94">
        <v>1.8</v>
      </c>
      <c r="I6" s="94">
        <f t="shared" ref="I6" si="2">4.5+3.5</f>
        <v>8</v>
      </c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>
        <v>17</v>
      </c>
      <c r="W6" s="94">
        <v>3.9</v>
      </c>
    </row>
    <row r="7" spans="1:24" x14ac:dyDescent="0.15">
      <c r="A7" s="88" t="s">
        <v>157</v>
      </c>
      <c r="B7" s="95">
        <f t="shared" si="0"/>
        <v>83</v>
      </c>
      <c r="C7" s="94">
        <f t="shared" si="1"/>
        <v>75.2</v>
      </c>
      <c r="D7" s="94">
        <v>35.299999999999997</v>
      </c>
      <c r="E7" s="94"/>
      <c r="F7" s="94"/>
      <c r="G7" s="94">
        <v>4.7</v>
      </c>
      <c r="H7" s="94"/>
      <c r="I7" s="94">
        <v>4.5</v>
      </c>
      <c r="J7" s="94">
        <v>1.8</v>
      </c>
      <c r="K7" s="94">
        <v>8</v>
      </c>
      <c r="L7" s="94"/>
      <c r="M7" s="94"/>
      <c r="N7" s="94"/>
      <c r="O7" s="94"/>
      <c r="P7" s="94"/>
      <c r="Q7" s="94"/>
      <c r="R7" s="94"/>
      <c r="S7" s="94"/>
      <c r="T7" s="94"/>
      <c r="U7" s="94"/>
      <c r="V7" s="94">
        <v>17</v>
      </c>
      <c r="W7" s="94">
        <v>3.9</v>
      </c>
    </row>
    <row r="8" spans="1:24" x14ac:dyDescent="0.15">
      <c r="A8" s="88" t="s">
        <v>158</v>
      </c>
      <c r="B8" s="95">
        <f t="shared" si="0"/>
        <v>88</v>
      </c>
      <c r="C8" s="94">
        <f t="shared" si="1"/>
        <v>79.7</v>
      </c>
      <c r="D8" s="94">
        <v>35.299999999999997</v>
      </c>
      <c r="E8" s="94"/>
      <c r="F8" s="94"/>
      <c r="G8" s="94">
        <v>4.7</v>
      </c>
      <c r="H8" s="94"/>
      <c r="I8" s="94">
        <v>4.5</v>
      </c>
      <c r="J8" s="94"/>
      <c r="K8" s="94">
        <v>4.5</v>
      </c>
      <c r="L8" s="94">
        <v>1.8</v>
      </c>
      <c r="M8" s="94">
        <v>8</v>
      </c>
      <c r="N8" s="94"/>
      <c r="O8" s="94"/>
      <c r="P8" s="94"/>
      <c r="Q8" s="94"/>
      <c r="R8" s="94"/>
      <c r="S8" s="94"/>
      <c r="T8" s="94"/>
      <c r="U8" s="94"/>
      <c r="V8" s="94">
        <v>17</v>
      </c>
      <c r="W8" s="94">
        <v>3.9</v>
      </c>
    </row>
    <row r="9" spans="1:24" x14ac:dyDescent="0.15">
      <c r="A9" s="88" t="s">
        <v>159</v>
      </c>
      <c r="B9" s="95">
        <f t="shared" si="0"/>
        <v>93</v>
      </c>
      <c r="C9" s="94">
        <f t="shared" si="1"/>
        <v>84.2</v>
      </c>
      <c r="D9" s="94">
        <v>35.299999999999997</v>
      </c>
      <c r="E9" s="94"/>
      <c r="F9" s="94"/>
      <c r="G9" s="94">
        <v>4.7</v>
      </c>
      <c r="H9" s="94"/>
      <c r="I9" s="94">
        <v>4.5</v>
      </c>
      <c r="J9" s="94"/>
      <c r="K9" s="94">
        <v>4.5</v>
      </c>
      <c r="L9" s="94"/>
      <c r="M9" s="94">
        <v>4.5</v>
      </c>
      <c r="N9" s="94">
        <v>1.8</v>
      </c>
      <c r="O9" s="94">
        <v>8</v>
      </c>
      <c r="P9" s="94"/>
      <c r="Q9" s="94"/>
      <c r="R9" s="94"/>
      <c r="S9" s="94"/>
      <c r="T9" s="94"/>
      <c r="U9" s="94"/>
      <c r="V9" s="94">
        <v>17</v>
      </c>
      <c r="W9" s="94">
        <v>3.9</v>
      </c>
    </row>
    <row r="10" spans="1:24" x14ac:dyDescent="0.15">
      <c r="A10" s="88"/>
      <c r="B10" s="95">
        <f t="shared" ref="B10:B53" si="3">ROUNDUP(C10*1.1,0)</f>
        <v>0</v>
      </c>
      <c r="C10" s="94">
        <f t="shared" ref="C10:C53" si="4">+SUM(D10:AG10)</f>
        <v>0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</row>
    <row r="11" spans="1:24" x14ac:dyDescent="0.15">
      <c r="A11" s="88"/>
      <c r="B11" s="95">
        <f t="shared" si="3"/>
        <v>0</v>
      </c>
      <c r="C11" s="94">
        <f t="shared" si="4"/>
        <v>0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</row>
    <row r="12" spans="1:24" x14ac:dyDescent="0.15">
      <c r="A12" s="88"/>
      <c r="B12" s="95">
        <f t="shared" si="3"/>
        <v>0</v>
      </c>
      <c r="C12" s="94">
        <f t="shared" si="4"/>
        <v>0</v>
      </c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</row>
    <row r="13" spans="1:24" x14ac:dyDescent="0.15">
      <c r="A13" s="88"/>
      <c r="B13" s="95">
        <f t="shared" si="3"/>
        <v>0</v>
      </c>
      <c r="C13" s="94">
        <f t="shared" si="4"/>
        <v>0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</row>
    <row r="14" spans="1:24" x14ac:dyDescent="0.15">
      <c r="A14" s="88"/>
      <c r="B14" s="95">
        <f t="shared" si="3"/>
        <v>0</v>
      </c>
      <c r="C14" s="94">
        <f t="shared" si="4"/>
        <v>0</v>
      </c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</row>
    <row r="15" spans="1:24" x14ac:dyDescent="0.15">
      <c r="A15" s="88"/>
      <c r="B15" s="95">
        <f t="shared" si="3"/>
        <v>0</v>
      </c>
      <c r="C15" s="94">
        <f t="shared" si="4"/>
        <v>0</v>
      </c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</row>
    <row r="16" spans="1:24" x14ac:dyDescent="0.15">
      <c r="A16" s="88"/>
      <c r="B16" s="95">
        <f t="shared" si="3"/>
        <v>0</v>
      </c>
      <c r="C16" s="94">
        <f t="shared" si="4"/>
        <v>0</v>
      </c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</row>
    <row r="17" spans="1:23" x14ac:dyDescent="0.15">
      <c r="A17" s="88"/>
      <c r="B17" s="95">
        <f t="shared" si="3"/>
        <v>0</v>
      </c>
      <c r="C17" s="94">
        <f t="shared" si="4"/>
        <v>0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</row>
    <row r="18" spans="1:23" x14ac:dyDescent="0.15">
      <c r="A18" s="88"/>
      <c r="B18" s="95">
        <f t="shared" si="3"/>
        <v>0</v>
      </c>
      <c r="C18" s="94">
        <f t="shared" si="4"/>
        <v>0</v>
      </c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</row>
    <row r="19" spans="1:23" x14ac:dyDescent="0.15">
      <c r="A19" s="88"/>
      <c r="B19" s="95">
        <f t="shared" si="3"/>
        <v>0</v>
      </c>
      <c r="C19" s="94">
        <f t="shared" si="4"/>
        <v>0</v>
      </c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</row>
    <row r="20" spans="1:23" x14ac:dyDescent="0.15">
      <c r="A20" s="88"/>
      <c r="B20" s="95">
        <f t="shared" si="3"/>
        <v>0</v>
      </c>
      <c r="C20" s="94">
        <f t="shared" si="4"/>
        <v>0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</row>
    <row r="21" spans="1:23" x14ac:dyDescent="0.15">
      <c r="A21" s="88"/>
      <c r="B21" s="95">
        <f t="shared" si="3"/>
        <v>0</v>
      </c>
      <c r="C21" s="94">
        <f t="shared" si="4"/>
        <v>0</v>
      </c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</row>
    <row r="22" spans="1:23" x14ac:dyDescent="0.15">
      <c r="A22" s="88"/>
      <c r="B22" s="95">
        <f t="shared" si="3"/>
        <v>0</v>
      </c>
      <c r="C22" s="94">
        <f t="shared" si="4"/>
        <v>0</v>
      </c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</row>
    <row r="23" spans="1:23" x14ac:dyDescent="0.15">
      <c r="A23" s="88"/>
      <c r="B23" s="95">
        <f t="shared" si="3"/>
        <v>0</v>
      </c>
      <c r="C23" s="94">
        <f t="shared" si="4"/>
        <v>0</v>
      </c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</row>
    <row r="24" spans="1:23" x14ac:dyDescent="0.15">
      <c r="A24" s="88"/>
      <c r="B24" s="95">
        <f t="shared" si="3"/>
        <v>0</v>
      </c>
      <c r="C24" s="94">
        <f t="shared" si="4"/>
        <v>0</v>
      </c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</row>
    <row r="25" spans="1:23" x14ac:dyDescent="0.15">
      <c r="A25" s="88"/>
      <c r="B25" s="95">
        <f t="shared" si="3"/>
        <v>0</v>
      </c>
      <c r="C25" s="94">
        <f t="shared" si="4"/>
        <v>0</v>
      </c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</row>
    <row r="26" spans="1:23" x14ac:dyDescent="0.15">
      <c r="A26" s="88"/>
      <c r="B26" s="95">
        <f t="shared" si="3"/>
        <v>0</v>
      </c>
      <c r="C26" s="94">
        <f t="shared" si="4"/>
        <v>0</v>
      </c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</row>
    <row r="27" spans="1:23" x14ac:dyDescent="0.15">
      <c r="A27" s="88"/>
      <c r="B27" s="95">
        <f t="shared" si="3"/>
        <v>0</v>
      </c>
      <c r="C27" s="94">
        <f t="shared" si="4"/>
        <v>0</v>
      </c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</row>
    <row r="28" spans="1:23" x14ac:dyDescent="0.15">
      <c r="A28" s="88"/>
      <c r="B28" s="95">
        <f t="shared" si="3"/>
        <v>0</v>
      </c>
      <c r="C28" s="94">
        <f t="shared" si="4"/>
        <v>0</v>
      </c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</row>
    <row r="29" spans="1:23" x14ac:dyDescent="0.15">
      <c r="A29" s="88"/>
      <c r="B29" s="95">
        <f t="shared" si="3"/>
        <v>0</v>
      </c>
      <c r="C29" s="94">
        <f t="shared" si="4"/>
        <v>0</v>
      </c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</row>
    <row r="30" spans="1:23" x14ac:dyDescent="0.15">
      <c r="A30" s="88"/>
      <c r="B30" s="95">
        <f t="shared" si="3"/>
        <v>0</v>
      </c>
      <c r="C30" s="94">
        <f t="shared" si="4"/>
        <v>0</v>
      </c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</row>
    <row r="31" spans="1:23" x14ac:dyDescent="0.15">
      <c r="A31" s="88"/>
      <c r="B31" s="95">
        <f t="shared" si="3"/>
        <v>0</v>
      </c>
      <c r="C31" s="94">
        <f t="shared" si="4"/>
        <v>0</v>
      </c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</row>
    <row r="32" spans="1:23" x14ac:dyDescent="0.15">
      <c r="A32" s="88"/>
      <c r="B32" s="95">
        <f t="shared" si="3"/>
        <v>0</v>
      </c>
      <c r="C32" s="94">
        <f>+SUM(D32:AG32)</f>
        <v>0</v>
      </c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</row>
    <row r="33" spans="1:23" x14ac:dyDescent="0.15">
      <c r="A33" s="88"/>
      <c r="B33" s="95">
        <f t="shared" si="3"/>
        <v>0</v>
      </c>
      <c r="C33" s="94">
        <f t="shared" si="4"/>
        <v>0</v>
      </c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</row>
    <row r="34" spans="1:23" x14ac:dyDescent="0.15">
      <c r="A34" s="88"/>
      <c r="B34" s="95">
        <f t="shared" si="3"/>
        <v>0</v>
      </c>
      <c r="C34" s="94">
        <f t="shared" si="4"/>
        <v>0</v>
      </c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</row>
    <row r="35" spans="1:23" x14ac:dyDescent="0.15">
      <c r="A35" s="88"/>
      <c r="B35" s="95">
        <f t="shared" si="3"/>
        <v>0</v>
      </c>
      <c r="C35" s="94">
        <f t="shared" si="4"/>
        <v>0</v>
      </c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</row>
    <row r="36" spans="1:23" x14ac:dyDescent="0.15">
      <c r="A36" s="88"/>
      <c r="B36" s="95">
        <f t="shared" si="3"/>
        <v>0</v>
      </c>
      <c r="C36" s="94">
        <f t="shared" si="4"/>
        <v>0</v>
      </c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</row>
    <row r="37" spans="1:23" x14ac:dyDescent="0.15">
      <c r="A37" s="88"/>
      <c r="B37" s="95">
        <f t="shared" si="3"/>
        <v>0</v>
      </c>
      <c r="C37" s="94">
        <f t="shared" si="4"/>
        <v>0</v>
      </c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</row>
    <row r="38" spans="1:23" x14ac:dyDescent="0.15">
      <c r="A38" s="88"/>
      <c r="B38" s="95">
        <f t="shared" si="3"/>
        <v>0</v>
      </c>
      <c r="C38" s="94">
        <f t="shared" si="4"/>
        <v>0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</row>
    <row r="39" spans="1:23" x14ac:dyDescent="0.15">
      <c r="A39" s="88"/>
      <c r="B39" s="95">
        <f t="shared" si="3"/>
        <v>0</v>
      </c>
      <c r="C39" s="94">
        <f t="shared" si="4"/>
        <v>0</v>
      </c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</row>
    <row r="40" spans="1:23" x14ac:dyDescent="0.15">
      <c r="A40" s="88"/>
      <c r="B40" s="95">
        <f t="shared" si="3"/>
        <v>0</v>
      </c>
      <c r="C40" s="94">
        <f t="shared" si="4"/>
        <v>0</v>
      </c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</row>
    <row r="41" spans="1:23" x14ac:dyDescent="0.15">
      <c r="A41" s="88"/>
      <c r="B41" s="95">
        <f t="shared" si="3"/>
        <v>0</v>
      </c>
      <c r="C41" s="94">
        <f t="shared" si="4"/>
        <v>0</v>
      </c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</row>
    <row r="42" spans="1:23" x14ac:dyDescent="0.15">
      <c r="A42" s="88"/>
      <c r="B42" s="95">
        <f t="shared" si="3"/>
        <v>0</v>
      </c>
      <c r="C42" s="94">
        <f t="shared" si="4"/>
        <v>0</v>
      </c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</row>
    <row r="43" spans="1:23" x14ac:dyDescent="0.15">
      <c r="A43" s="88"/>
      <c r="B43" s="95">
        <f t="shared" si="3"/>
        <v>0</v>
      </c>
      <c r="C43" s="94">
        <f t="shared" si="4"/>
        <v>0</v>
      </c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</row>
    <row r="44" spans="1:23" x14ac:dyDescent="0.15">
      <c r="A44" s="88"/>
      <c r="B44" s="95">
        <f t="shared" si="3"/>
        <v>0</v>
      </c>
      <c r="C44" s="94">
        <f t="shared" si="4"/>
        <v>0</v>
      </c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</row>
    <row r="45" spans="1:23" x14ac:dyDescent="0.15">
      <c r="A45" s="88"/>
      <c r="B45" s="95">
        <f t="shared" si="3"/>
        <v>0</v>
      </c>
      <c r="C45" s="94">
        <f t="shared" si="4"/>
        <v>0</v>
      </c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</row>
    <row r="46" spans="1:23" x14ac:dyDescent="0.15">
      <c r="A46" s="88"/>
      <c r="B46" s="95">
        <f t="shared" si="3"/>
        <v>0</v>
      </c>
      <c r="C46" s="94">
        <f t="shared" si="4"/>
        <v>0</v>
      </c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</row>
    <row r="47" spans="1:23" x14ac:dyDescent="0.15">
      <c r="A47" s="88"/>
      <c r="B47" s="95">
        <f t="shared" si="3"/>
        <v>0</v>
      </c>
      <c r="C47" s="94">
        <f t="shared" si="4"/>
        <v>0</v>
      </c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</row>
    <row r="48" spans="1:23" x14ac:dyDescent="0.15">
      <c r="A48" s="88"/>
      <c r="B48" s="95">
        <f t="shared" si="3"/>
        <v>0</v>
      </c>
      <c r="C48" s="94">
        <f t="shared" si="4"/>
        <v>0</v>
      </c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</row>
    <row r="49" spans="1:23" x14ac:dyDescent="0.15">
      <c r="A49" s="88"/>
      <c r="B49" s="95">
        <f t="shared" si="3"/>
        <v>0</v>
      </c>
      <c r="C49" s="94">
        <f t="shared" si="4"/>
        <v>0</v>
      </c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</row>
    <row r="50" spans="1:23" x14ac:dyDescent="0.15">
      <c r="A50" s="88"/>
      <c r="B50" s="95">
        <f t="shared" si="3"/>
        <v>0</v>
      </c>
      <c r="C50" s="94">
        <f t="shared" si="4"/>
        <v>0</v>
      </c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</row>
    <row r="51" spans="1:23" x14ac:dyDescent="0.15">
      <c r="A51" s="88"/>
      <c r="B51" s="95">
        <f t="shared" si="3"/>
        <v>0</v>
      </c>
      <c r="C51" s="94">
        <f t="shared" si="4"/>
        <v>0</v>
      </c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</row>
    <row r="52" spans="1:23" x14ac:dyDescent="0.15">
      <c r="A52" s="88"/>
      <c r="B52" s="95">
        <f t="shared" si="3"/>
        <v>0</v>
      </c>
      <c r="C52" s="94">
        <f t="shared" si="4"/>
        <v>0</v>
      </c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</row>
    <row r="53" spans="1:23" x14ac:dyDescent="0.15">
      <c r="A53" s="88"/>
      <c r="B53" s="95">
        <f t="shared" si="3"/>
        <v>0</v>
      </c>
      <c r="C53" s="94">
        <f t="shared" si="4"/>
        <v>0</v>
      </c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</row>
    <row r="54" spans="1:23" x14ac:dyDescent="0.15">
      <c r="A54" s="88"/>
      <c r="B54" s="95">
        <f t="shared" ref="B54:B68" si="5">ROUNDUP(C54*1,0)</f>
        <v>0</v>
      </c>
      <c r="C54" s="94">
        <f t="shared" ref="C54:C68" si="6">+SUM(D54:AG54)</f>
        <v>0</v>
      </c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</row>
    <row r="55" spans="1:23" x14ac:dyDescent="0.15">
      <c r="A55" s="88"/>
      <c r="B55" s="95">
        <f t="shared" si="5"/>
        <v>0</v>
      </c>
      <c r="C55" s="94">
        <f t="shared" si="6"/>
        <v>0</v>
      </c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</row>
    <row r="56" spans="1:23" x14ac:dyDescent="0.15">
      <c r="A56" s="88"/>
      <c r="B56" s="95">
        <f t="shared" si="5"/>
        <v>0</v>
      </c>
      <c r="C56" s="94">
        <f t="shared" si="6"/>
        <v>0</v>
      </c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</row>
    <row r="57" spans="1:23" x14ac:dyDescent="0.15">
      <c r="A57" s="88"/>
      <c r="B57" s="95">
        <f t="shared" si="5"/>
        <v>0</v>
      </c>
      <c r="C57" s="94">
        <f t="shared" si="6"/>
        <v>0</v>
      </c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</row>
    <row r="58" spans="1:23" x14ac:dyDescent="0.15">
      <c r="A58" s="88"/>
      <c r="B58" s="95">
        <f t="shared" si="5"/>
        <v>0</v>
      </c>
      <c r="C58" s="94">
        <f t="shared" si="6"/>
        <v>0</v>
      </c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</row>
    <row r="59" spans="1:23" x14ac:dyDescent="0.15">
      <c r="A59" s="88"/>
      <c r="B59" s="95">
        <f t="shared" si="5"/>
        <v>0</v>
      </c>
      <c r="C59" s="94">
        <f t="shared" si="6"/>
        <v>0</v>
      </c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</row>
    <row r="60" spans="1:23" x14ac:dyDescent="0.15">
      <c r="A60" s="88"/>
      <c r="B60" s="95">
        <f t="shared" si="5"/>
        <v>0</v>
      </c>
      <c r="C60" s="94">
        <f t="shared" si="6"/>
        <v>0</v>
      </c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</row>
    <row r="61" spans="1:23" x14ac:dyDescent="0.15">
      <c r="A61" s="88"/>
      <c r="B61" s="95">
        <f t="shared" si="5"/>
        <v>0</v>
      </c>
      <c r="C61" s="94">
        <f t="shared" si="6"/>
        <v>0</v>
      </c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</row>
    <row r="62" spans="1:23" x14ac:dyDescent="0.15">
      <c r="A62" s="88"/>
      <c r="B62" s="95">
        <f t="shared" si="5"/>
        <v>0</v>
      </c>
      <c r="C62" s="94">
        <f t="shared" si="6"/>
        <v>0</v>
      </c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</row>
    <row r="63" spans="1:23" x14ac:dyDescent="0.15">
      <c r="A63" s="88"/>
      <c r="B63" s="95">
        <f t="shared" si="5"/>
        <v>0</v>
      </c>
      <c r="C63" s="94">
        <f t="shared" si="6"/>
        <v>0</v>
      </c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</row>
    <row r="64" spans="1:23" x14ac:dyDescent="0.15">
      <c r="A64" s="88"/>
      <c r="B64" s="95">
        <f t="shared" si="5"/>
        <v>0</v>
      </c>
      <c r="C64" s="94">
        <f t="shared" si="6"/>
        <v>0</v>
      </c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</row>
    <row r="65" spans="1:23" x14ac:dyDescent="0.15">
      <c r="A65" s="88"/>
      <c r="B65" s="95">
        <f t="shared" si="5"/>
        <v>0</v>
      </c>
      <c r="C65" s="94">
        <f t="shared" si="6"/>
        <v>0</v>
      </c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</row>
    <row r="66" spans="1:23" x14ac:dyDescent="0.15">
      <c r="A66" s="88"/>
      <c r="B66" s="95">
        <f t="shared" si="5"/>
        <v>0</v>
      </c>
      <c r="C66" s="94">
        <f t="shared" si="6"/>
        <v>0</v>
      </c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</row>
    <row r="67" spans="1:23" x14ac:dyDescent="0.15">
      <c r="A67" s="88"/>
      <c r="B67" s="95">
        <f t="shared" si="5"/>
        <v>0</v>
      </c>
      <c r="C67" s="94">
        <f t="shared" si="6"/>
        <v>0</v>
      </c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</row>
    <row r="68" spans="1:23" x14ac:dyDescent="0.15">
      <c r="A68" s="88"/>
      <c r="B68" s="95">
        <f t="shared" si="5"/>
        <v>0</v>
      </c>
      <c r="C68" s="94">
        <f t="shared" si="6"/>
        <v>0</v>
      </c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</row>
    <row r="69" spans="1:23" x14ac:dyDescent="0.15">
      <c r="A69" s="88"/>
      <c r="B69" s="95">
        <f t="shared" ref="B69:B100" si="7">ROUNDUP(C69*1,0)</f>
        <v>0</v>
      </c>
      <c r="C69" s="94">
        <f t="shared" ref="C69:C100" si="8">+SUM(D69:AG69)</f>
        <v>0</v>
      </c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</row>
    <row r="70" spans="1:23" x14ac:dyDescent="0.15">
      <c r="A70" s="88"/>
      <c r="B70" s="95">
        <f t="shared" si="7"/>
        <v>0</v>
      </c>
      <c r="C70" s="94">
        <f t="shared" si="8"/>
        <v>0</v>
      </c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</row>
    <row r="71" spans="1:23" x14ac:dyDescent="0.15">
      <c r="A71" s="88"/>
      <c r="B71" s="95">
        <f t="shared" si="7"/>
        <v>0</v>
      </c>
      <c r="C71" s="94">
        <f t="shared" si="8"/>
        <v>0</v>
      </c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</row>
    <row r="72" spans="1:23" x14ac:dyDescent="0.15">
      <c r="A72" s="88"/>
      <c r="B72" s="95">
        <f t="shared" si="7"/>
        <v>0</v>
      </c>
      <c r="C72" s="94">
        <f t="shared" si="8"/>
        <v>0</v>
      </c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</row>
    <row r="73" spans="1:23" x14ac:dyDescent="0.15">
      <c r="A73" s="88"/>
      <c r="B73" s="95">
        <f t="shared" si="7"/>
        <v>0</v>
      </c>
      <c r="C73" s="94">
        <f t="shared" si="8"/>
        <v>0</v>
      </c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</row>
    <row r="74" spans="1:23" x14ac:dyDescent="0.15">
      <c r="A74" s="88"/>
      <c r="B74" s="95">
        <f t="shared" si="7"/>
        <v>0</v>
      </c>
      <c r="C74" s="94">
        <f t="shared" si="8"/>
        <v>0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</row>
    <row r="75" spans="1:23" x14ac:dyDescent="0.15">
      <c r="A75" s="88"/>
      <c r="B75" s="95">
        <f t="shared" si="7"/>
        <v>0</v>
      </c>
      <c r="C75" s="94">
        <f t="shared" si="8"/>
        <v>0</v>
      </c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</row>
    <row r="76" spans="1:23" x14ac:dyDescent="0.15">
      <c r="A76" s="88"/>
      <c r="B76" s="95">
        <f t="shared" si="7"/>
        <v>0</v>
      </c>
      <c r="C76" s="94">
        <f t="shared" si="8"/>
        <v>0</v>
      </c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</row>
    <row r="77" spans="1:23" x14ac:dyDescent="0.15">
      <c r="A77" s="88"/>
      <c r="B77" s="95">
        <f t="shared" si="7"/>
        <v>0</v>
      </c>
      <c r="C77" s="94">
        <f t="shared" si="8"/>
        <v>0</v>
      </c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</row>
    <row r="78" spans="1:23" x14ac:dyDescent="0.15">
      <c r="A78" s="88"/>
      <c r="B78" s="95">
        <f t="shared" si="7"/>
        <v>0</v>
      </c>
      <c r="C78" s="94">
        <f t="shared" si="8"/>
        <v>0</v>
      </c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</row>
    <row r="79" spans="1:23" x14ac:dyDescent="0.15">
      <c r="A79" s="88"/>
      <c r="B79" s="95">
        <f t="shared" si="7"/>
        <v>0</v>
      </c>
      <c r="C79" s="94">
        <f t="shared" si="8"/>
        <v>0</v>
      </c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</row>
    <row r="80" spans="1:23" x14ac:dyDescent="0.15">
      <c r="A80" s="88"/>
      <c r="B80" s="95">
        <f t="shared" si="7"/>
        <v>0</v>
      </c>
      <c r="C80" s="94">
        <f t="shared" si="8"/>
        <v>0</v>
      </c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</row>
    <row r="81" spans="1:23" x14ac:dyDescent="0.15">
      <c r="A81" s="88"/>
      <c r="B81" s="95">
        <f t="shared" si="7"/>
        <v>0</v>
      </c>
      <c r="C81" s="94">
        <f t="shared" si="8"/>
        <v>0</v>
      </c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</row>
    <row r="82" spans="1:23" x14ac:dyDescent="0.15">
      <c r="A82" s="88"/>
      <c r="B82" s="95">
        <f t="shared" si="7"/>
        <v>0</v>
      </c>
      <c r="C82" s="94">
        <f t="shared" si="8"/>
        <v>0</v>
      </c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</row>
    <row r="83" spans="1:23" x14ac:dyDescent="0.15">
      <c r="A83" s="88"/>
      <c r="B83" s="95">
        <f t="shared" si="7"/>
        <v>0</v>
      </c>
      <c r="C83" s="94">
        <f t="shared" si="8"/>
        <v>0</v>
      </c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</row>
    <row r="84" spans="1:23" x14ac:dyDescent="0.15">
      <c r="A84" s="88"/>
      <c r="B84" s="95">
        <f t="shared" si="7"/>
        <v>0</v>
      </c>
      <c r="C84" s="94">
        <f t="shared" si="8"/>
        <v>0</v>
      </c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</row>
    <row r="85" spans="1:23" x14ac:dyDescent="0.15">
      <c r="A85" s="88"/>
      <c r="B85" s="95">
        <f t="shared" si="7"/>
        <v>0</v>
      </c>
      <c r="C85" s="94">
        <f t="shared" si="8"/>
        <v>0</v>
      </c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</row>
    <row r="86" spans="1:23" x14ac:dyDescent="0.15">
      <c r="A86" s="88"/>
      <c r="B86" s="95">
        <f t="shared" si="7"/>
        <v>0</v>
      </c>
      <c r="C86" s="94">
        <f t="shared" si="8"/>
        <v>0</v>
      </c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</row>
    <row r="87" spans="1:23" x14ac:dyDescent="0.15">
      <c r="A87" s="88"/>
      <c r="B87" s="95">
        <f t="shared" si="7"/>
        <v>0</v>
      </c>
      <c r="C87" s="94">
        <f t="shared" si="8"/>
        <v>0</v>
      </c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</row>
    <row r="88" spans="1:23" x14ac:dyDescent="0.15">
      <c r="A88" s="88"/>
      <c r="B88" s="95">
        <f t="shared" si="7"/>
        <v>0</v>
      </c>
      <c r="C88" s="94">
        <f t="shared" si="8"/>
        <v>0</v>
      </c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</row>
    <row r="89" spans="1:23" x14ac:dyDescent="0.15">
      <c r="A89" s="88"/>
      <c r="B89" s="95">
        <f t="shared" si="7"/>
        <v>0</v>
      </c>
      <c r="C89" s="94">
        <f t="shared" si="8"/>
        <v>0</v>
      </c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</row>
    <row r="90" spans="1:23" x14ac:dyDescent="0.15">
      <c r="A90" s="88"/>
      <c r="B90" s="95">
        <f t="shared" si="7"/>
        <v>0</v>
      </c>
      <c r="C90" s="94">
        <f t="shared" si="8"/>
        <v>0</v>
      </c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</row>
    <row r="91" spans="1:23" x14ac:dyDescent="0.15">
      <c r="A91" s="88"/>
      <c r="B91" s="95">
        <f t="shared" si="7"/>
        <v>0</v>
      </c>
      <c r="C91" s="94">
        <f t="shared" si="8"/>
        <v>0</v>
      </c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</row>
    <row r="92" spans="1:23" x14ac:dyDescent="0.15">
      <c r="A92" s="88"/>
      <c r="B92" s="95">
        <f t="shared" si="7"/>
        <v>0</v>
      </c>
      <c r="C92" s="94">
        <f t="shared" si="8"/>
        <v>0</v>
      </c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</row>
    <row r="93" spans="1:23" x14ac:dyDescent="0.15">
      <c r="A93" s="88"/>
      <c r="B93" s="95">
        <f t="shared" si="7"/>
        <v>0</v>
      </c>
      <c r="C93" s="94">
        <f t="shared" si="8"/>
        <v>0</v>
      </c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</row>
    <row r="94" spans="1:23" x14ac:dyDescent="0.15">
      <c r="A94" s="88"/>
      <c r="B94" s="95">
        <f t="shared" si="7"/>
        <v>0</v>
      </c>
      <c r="C94" s="94">
        <f t="shared" si="8"/>
        <v>0</v>
      </c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</row>
    <row r="95" spans="1:23" x14ac:dyDescent="0.15">
      <c r="A95" s="88"/>
      <c r="B95" s="95">
        <f t="shared" si="7"/>
        <v>0</v>
      </c>
      <c r="C95" s="94">
        <f t="shared" si="8"/>
        <v>0</v>
      </c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</row>
    <row r="96" spans="1:23" x14ac:dyDescent="0.15">
      <c r="A96" s="88"/>
      <c r="B96" s="95">
        <f t="shared" si="7"/>
        <v>0</v>
      </c>
      <c r="C96" s="94">
        <f t="shared" si="8"/>
        <v>0</v>
      </c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</row>
    <row r="97" spans="1:23" x14ac:dyDescent="0.15">
      <c r="A97" s="88"/>
      <c r="B97" s="95">
        <f t="shared" si="7"/>
        <v>0</v>
      </c>
      <c r="C97" s="94">
        <f t="shared" si="8"/>
        <v>0</v>
      </c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</row>
    <row r="98" spans="1:23" x14ac:dyDescent="0.15">
      <c r="A98" s="88"/>
      <c r="B98" s="95">
        <f t="shared" si="7"/>
        <v>0</v>
      </c>
      <c r="C98" s="94">
        <f t="shared" si="8"/>
        <v>0</v>
      </c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</row>
    <row r="99" spans="1:23" x14ac:dyDescent="0.15">
      <c r="A99" s="88"/>
      <c r="B99" s="95">
        <f t="shared" si="7"/>
        <v>0</v>
      </c>
      <c r="C99" s="94">
        <f t="shared" si="8"/>
        <v>0</v>
      </c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</row>
    <row r="100" spans="1:23" x14ac:dyDescent="0.15">
      <c r="A100" s="88"/>
      <c r="B100" s="95">
        <f t="shared" si="7"/>
        <v>0</v>
      </c>
      <c r="C100" s="94">
        <f t="shared" si="8"/>
        <v>0</v>
      </c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</row>
  </sheetData>
  <phoneticPr fontId="2"/>
  <pageMargins left="0.7" right="0.7" top="0.75" bottom="0.75" header="0.3" footer="0.3"/>
  <pageSetup paperSize="8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EF9E-5781-46C8-A283-0FCFE75B0C37}">
  <sheetPr>
    <tabColor rgb="FF00B050"/>
  </sheetPr>
  <dimension ref="A1:S31"/>
  <sheetViews>
    <sheetView view="pageBreakPreview" zoomScale="85" zoomScaleNormal="80" zoomScaleSheetLayoutView="85" workbookViewId="0">
      <pane xSplit="7" ySplit="3" topLeftCell="H4" activePane="bottomRight" state="frozen"/>
      <selection pane="topRight" activeCell="I1" sqref="I1"/>
      <selection pane="bottomLeft" activeCell="A4" sqref="A4"/>
      <selection pane="bottomRight" activeCell="J22" sqref="J22"/>
    </sheetView>
  </sheetViews>
  <sheetFormatPr defaultRowHeight="13.5" x14ac:dyDescent="0.15"/>
  <cols>
    <col min="1" max="1" width="1.75" style="138" customWidth="1"/>
    <col min="2" max="2" width="5.5" style="143" customWidth="1"/>
    <col min="3" max="3" width="12.5" style="138" bestFit="1" customWidth="1"/>
    <col min="4" max="4" width="9.375" style="138" bestFit="1" customWidth="1"/>
    <col min="5" max="5" width="9.625" style="138" customWidth="1"/>
    <col min="6" max="6" width="5" style="138" bestFit="1" customWidth="1"/>
    <col min="7" max="7" width="6.125" style="138" customWidth="1"/>
    <col min="8" max="8" width="7.75" style="138" bestFit="1" customWidth="1"/>
    <col min="9" max="9" width="7.5" style="138" customWidth="1"/>
    <col min="10" max="10" width="7" style="138" bestFit="1" customWidth="1"/>
    <col min="11" max="13" width="7.75" style="138" bestFit="1" customWidth="1"/>
    <col min="14" max="15" width="7" style="138" bestFit="1" customWidth="1"/>
    <col min="16" max="17" width="7.75" style="138" bestFit="1" customWidth="1"/>
    <col min="18" max="18" width="1.5" style="138" customWidth="1"/>
    <col min="19" max="19" width="9" style="139"/>
    <col min="20" max="16384" width="9" style="140"/>
  </cols>
  <sheetData>
    <row r="1" spans="2:19" ht="37.5" customHeight="1" thickBot="1" x14ac:dyDescent="0.2">
      <c r="B1" s="137" t="s">
        <v>132</v>
      </c>
    </row>
    <row r="2" spans="2:19" ht="19.5" customHeight="1" thickBot="1" x14ac:dyDescent="0.2">
      <c r="B2" s="137" t="s">
        <v>133</v>
      </c>
      <c r="F2" s="141"/>
      <c r="G2" s="141" t="s">
        <v>134</v>
      </c>
      <c r="H2" s="142">
        <v>10</v>
      </c>
      <c r="I2" s="143"/>
      <c r="J2" s="143"/>
      <c r="K2" s="143"/>
      <c r="L2" s="143"/>
      <c r="M2" s="143"/>
      <c r="N2" s="143"/>
      <c r="O2" s="143"/>
    </row>
    <row r="3" spans="2:19" ht="28.5" customHeight="1" thickBot="1" x14ac:dyDescent="0.2">
      <c r="B3" s="144" t="s">
        <v>135</v>
      </c>
      <c r="C3" s="145" t="s">
        <v>136</v>
      </c>
      <c r="D3" s="145" t="s">
        <v>137</v>
      </c>
      <c r="E3" s="146" t="s">
        <v>138</v>
      </c>
      <c r="F3" s="147" t="s">
        <v>139</v>
      </c>
      <c r="G3" s="148" t="s">
        <v>140</v>
      </c>
      <c r="H3" s="149" t="s">
        <v>160</v>
      </c>
      <c r="I3" s="149" t="s">
        <v>161</v>
      </c>
      <c r="J3" s="149"/>
      <c r="K3" s="149"/>
      <c r="L3" s="149"/>
      <c r="M3" s="149"/>
      <c r="N3" s="149"/>
      <c r="O3" s="149"/>
      <c r="P3" s="150"/>
      <c r="Q3" s="151"/>
    </row>
    <row r="4" spans="2:19" x14ac:dyDescent="0.15">
      <c r="B4" s="152"/>
      <c r="C4" s="153"/>
      <c r="D4" s="154"/>
      <c r="E4" s="155"/>
      <c r="F4" s="156"/>
      <c r="G4" s="157"/>
      <c r="H4" s="158"/>
      <c r="I4" s="159"/>
      <c r="J4" s="159"/>
      <c r="K4" s="159"/>
      <c r="L4" s="159"/>
      <c r="M4" s="159"/>
      <c r="N4" s="160"/>
      <c r="O4" s="160"/>
      <c r="P4" s="161"/>
      <c r="Q4" s="162"/>
    </row>
    <row r="5" spans="2:19" x14ac:dyDescent="0.15">
      <c r="B5" s="163"/>
      <c r="C5" s="164" t="str">
        <f>+電圧降下!A40</f>
        <v>①L-101</v>
      </c>
      <c r="D5" s="165" t="str">
        <f>+電圧降下!L40</f>
        <v>1L-1</v>
      </c>
      <c r="E5" s="187">
        <f>+電圧降下!Q40</f>
        <v>250</v>
      </c>
      <c r="F5" s="138">
        <v>1</v>
      </c>
      <c r="G5" s="167">
        <f t="shared" ref="G5" si="0">IF(E5=8,16,IF(E5=14,21,IF(E5=22,24,IF(E5=38,28,IF(E5=60,33,IF(E5=100,41,IF(E5=150,47,IF(E5=200,55,IF(E5=250,60,"-")))))))))*F5</f>
        <v>60</v>
      </c>
      <c r="H5" s="168">
        <f t="shared" ref="H5:H14" si="1">G5+$H$2</f>
        <v>70</v>
      </c>
      <c r="I5" s="159"/>
      <c r="J5" s="159"/>
      <c r="K5" s="159"/>
      <c r="L5" s="159"/>
      <c r="M5" s="159"/>
      <c r="N5" s="159"/>
      <c r="O5" s="159"/>
      <c r="P5" s="159"/>
      <c r="Q5" s="169"/>
    </row>
    <row r="6" spans="2:19" s="138" customFormat="1" ht="12" x14ac:dyDescent="0.15">
      <c r="B6" s="163"/>
      <c r="C6" s="164" t="str">
        <f>+電圧降下!A44</f>
        <v>②L-102</v>
      </c>
      <c r="D6" s="165" t="str">
        <f>+電圧降下!L44</f>
        <v>2L-1</v>
      </c>
      <c r="E6" s="187">
        <f>+電圧降下!Q44</f>
        <v>200</v>
      </c>
      <c r="F6" s="138">
        <v>1</v>
      </c>
      <c r="G6" s="167">
        <f t="shared" ref="G6:G14" si="2">IF(E6=8,16,IF(E6=14,21,IF(E6=22,24,IF(E6=38,28,IF(E6=60,33,IF(E6=100,41,IF(E6=150,47,IF(E6=200,55,IF(E6=250,60,"-")))))))))*F6</f>
        <v>55</v>
      </c>
      <c r="H6" s="168">
        <f t="shared" si="1"/>
        <v>65</v>
      </c>
      <c r="I6" s="159">
        <f>+H6</f>
        <v>65</v>
      </c>
      <c r="J6" s="159"/>
      <c r="K6" s="159"/>
      <c r="L6" s="159"/>
      <c r="M6" s="159"/>
      <c r="N6" s="159"/>
      <c r="O6" s="159"/>
      <c r="P6" s="159"/>
      <c r="Q6" s="169"/>
      <c r="S6" s="139"/>
    </row>
    <row r="7" spans="2:19" s="138" customFormat="1" ht="12" x14ac:dyDescent="0.15">
      <c r="B7" s="163"/>
      <c r="C7" s="164" t="str">
        <f>+電圧降下!A48</f>
        <v>③L-103</v>
      </c>
      <c r="D7" s="165" t="str">
        <f>+電圧降下!L48</f>
        <v>3L-1</v>
      </c>
      <c r="E7" s="187">
        <f>+電圧降下!Q48</f>
        <v>200</v>
      </c>
      <c r="F7" s="138">
        <v>1</v>
      </c>
      <c r="G7" s="167">
        <f t="shared" si="2"/>
        <v>55</v>
      </c>
      <c r="H7" s="168">
        <f t="shared" si="1"/>
        <v>65</v>
      </c>
      <c r="I7" s="159">
        <f>+H7</f>
        <v>65</v>
      </c>
      <c r="J7" s="159"/>
      <c r="K7" s="159"/>
      <c r="L7" s="159"/>
      <c r="M7" s="159"/>
      <c r="N7" s="159"/>
      <c r="O7" s="159"/>
      <c r="P7" s="159"/>
      <c r="Q7" s="169"/>
      <c r="S7" s="139"/>
    </row>
    <row r="8" spans="2:19" s="138" customFormat="1" ht="12" x14ac:dyDescent="0.15">
      <c r="B8" s="163"/>
      <c r="C8" s="164" t="str">
        <f>+電圧降下!A60</f>
        <v>④LG-101</v>
      </c>
      <c r="D8" s="165" t="str">
        <f>+電圧降下!L60</f>
        <v>1～3L-1</v>
      </c>
      <c r="E8" s="187">
        <f>+電圧降下!Q60</f>
        <v>100</v>
      </c>
      <c r="F8" s="138">
        <v>1</v>
      </c>
      <c r="G8" s="167">
        <f t="shared" si="2"/>
        <v>41</v>
      </c>
      <c r="H8" s="168">
        <f t="shared" si="1"/>
        <v>51</v>
      </c>
      <c r="I8" s="159">
        <f>+H8</f>
        <v>51</v>
      </c>
      <c r="J8" s="159"/>
      <c r="K8" s="159"/>
      <c r="L8" s="159"/>
      <c r="M8" s="159"/>
      <c r="N8" s="159"/>
      <c r="O8" s="159"/>
      <c r="P8" s="159"/>
      <c r="Q8" s="169"/>
      <c r="S8" s="139"/>
    </row>
    <row r="9" spans="2:19" s="138" customFormat="1" ht="12" x14ac:dyDescent="0.15">
      <c r="B9" s="163"/>
      <c r="C9" s="164" t="str">
        <f>+電圧降下!A96</f>
        <v>⑤LE-101</v>
      </c>
      <c r="D9" s="165" t="str">
        <f>+電圧降下!L96</f>
        <v>非常ｺﾝｾﾝﾄ</v>
      </c>
      <c r="E9" s="187">
        <f>+電圧降下!Q96</f>
        <v>22</v>
      </c>
      <c r="F9" s="138">
        <v>2</v>
      </c>
      <c r="G9" s="167">
        <f t="shared" si="2"/>
        <v>48</v>
      </c>
      <c r="H9" s="168">
        <f t="shared" si="1"/>
        <v>58</v>
      </c>
      <c r="I9" s="159">
        <f>+H9</f>
        <v>58</v>
      </c>
      <c r="J9" s="159"/>
      <c r="K9" s="159"/>
      <c r="L9" s="159"/>
      <c r="M9" s="159"/>
      <c r="N9" s="159"/>
      <c r="O9" s="159"/>
      <c r="P9" s="159"/>
      <c r="Q9" s="169"/>
      <c r="S9" s="139"/>
    </row>
    <row r="10" spans="2:19" s="138" customFormat="1" ht="12" x14ac:dyDescent="0.15">
      <c r="B10" s="163"/>
      <c r="C10" s="164" t="str">
        <f>+電圧降下!A143</f>
        <v>①P-101</v>
      </c>
      <c r="D10" s="165" t="str">
        <f>+電圧降下!L143</f>
        <v>1P-1</v>
      </c>
      <c r="E10" s="187">
        <f>+電圧降下!Q143</f>
        <v>60</v>
      </c>
      <c r="F10" s="138">
        <v>1</v>
      </c>
      <c r="G10" s="167">
        <f t="shared" si="2"/>
        <v>33</v>
      </c>
      <c r="H10" s="168">
        <f t="shared" si="1"/>
        <v>43</v>
      </c>
      <c r="I10" s="159"/>
      <c r="J10" s="159"/>
      <c r="K10" s="159"/>
      <c r="L10" s="159"/>
      <c r="M10" s="159"/>
      <c r="N10" s="159"/>
      <c r="O10" s="159"/>
      <c r="P10" s="159"/>
      <c r="Q10" s="169"/>
      <c r="S10" s="139"/>
    </row>
    <row r="11" spans="2:19" s="138" customFormat="1" ht="12" x14ac:dyDescent="0.15">
      <c r="B11" s="163"/>
      <c r="C11" s="164" t="str">
        <f>+電圧降下!A147</f>
        <v>②P-102</v>
      </c>
      <c r="D11" s="165" t="str">
        <f>+電圧降下!L147</f>
        <v>2P-1</v>
      </c>
      <c r="E11" s="187">
        <f>+電圧降下!Q147</f>
        <v>100</v>
      </c>
      <c r="F11" s="138">
        <v>1</v>
      </c>
      <c r="G11" s="167">
        <f t="shared" si="2"/>
        <v>41</v>
      </c>
      <c r="H11" s="168">
        <f t="shared" si="1"/>
        <v>51</v>
      </c>
      <c r="I11" s="159">
        <f>+H11</f>
        <v>51</v>
      </c>
      <c r="J11" s="159"/>
      <c r="K11" s="159"/>
      <c r="L11" s="159"/>
      <c r="M11" s="159"/>
      <c r="N11" s="159"/>
      <c r="O11" s="159"/>
      <c r="P11" s="159"/>
      <c r="Q11" s="169"/>
      <c r="S11" s="139"/>
    </row>
    <row r="12" spans="2:19" s="138" customFormat="1" ht="12" x14ac:dyDescent="0.15">
      <c r="B12" s="163"/>
      <c r="C12" s="164" t="str">
        <f>+電圧降下!A151</f>
        <v>③P-103</v>
      </c>
      <c r="D12" s="165" t="str">
        <f>+電圧降下!L151</f>
        <v>3P-1</v>
      </c>
      <c r="E12" s="187">
        <f>+電圧降下!Q151</f>
        <v>100</v>
      </c>
      <c r="F12" s="138">
        <v>1</v>
      </c>
      <c r="G12" s="167">
        <f t="shared" si="2"/>
        <v>41</v>
      </c>
      <c r="H12" s="168">
        <f t="shared" si="1"/>
        <v>51</v>
      </c>
      <c r="I12" s="159">
        <f>+H12</f>
        <v>51</v>
      </c>
      <c r="J12" s="159"/>
      <c r="K12" s="159"/>
      <c r="L12" s="159"/>
      <c r="M12" s="159"/>
      <c r="N12" s="159"/>
      <c r="O12" s="159"/>
      <c r="P12" s="159"/>
      <c r="Q12" s="169"/>
      <c r="S12" s="139"/>
    </row>
    <row r="13" spans="2:19" s="138" customFormat="1" ht="12" x14ac:dyDescent="0.15">
      <c r="B13" s="163"/>
      <c r="C13" s="164" t="str">
        <f>+電圧降下!A159</f>
        <v>④P-104</v>
      </c>
      <c r="D13" s="165" t="str">
        <f>+電圧降下!L159</f>
        <v>1P-1</v>
      </c>
      <c r="E13" s="187">
        <f>+電圧降下!Q159</f>
        <v>60</v>
      </c>
      <c r="F13" s="138">
        <v>1</v>
      </c>
      <c r="G13" s="167">
        <f t="shared" si="2"/>
        <v>33</v>
      </c>
      <c r="H13" s="168">
        <f t="shared" si="1"/>
        <v>43</v>
      </c>
      <c r="I13" s="159"/>
      <c r="J13" s="159"/>
      <c r="K13" s="159"/>
      <c r="L13" s="159"/>
      <c r="M13" s="159"/>
      <c r="N13" s="159"/>
      <c r="O13" s="159"/>
      <c r="P13" s="159"/>
      <c r="Q13" s="169"/>
      <c r="S13" s="139"/>
    </row>
    <row r="14" spans="2:19" s="138" customFormat="1" ht="12" x14ac:dyDescent="0.15">
      <c r="B14" s="163"/>
      <c r="C14" s="164" t="str">
        <f>+電圧降下!A167</f>
        <v>⑤P-105</v>
      </c>
      <c r="D14" s="165" t="str">
        <f>+電圧降下!L167</f>
        <v>1P-1</v>
      </c>
      <c r="E14" s="187">
        <f>+電圧降下!Q167</f>
        <v>100</v>
      </c>
      <c r="F14" s="138">
        <v>1</v>
      </c>
      <c r="G14" s="167">
        <f t="shared" si="2"/>
        <v>41</v>
      </c>
      <c r="H14" s="168">
        <f t="shared" si="1"/>
        <v>51</v>
      </c>
      <c r="I14" s="159"/>
      <c r="J14" s="159"/>
      <c r="K14" s="159"/>
      <c r="L14" s="159"/>
      <c r="M14" s="159"/>
      <c r="N14" s="159"/>
      <c r="O14" s="159"/>
      <c r="P14" s="159"/>
      <c r="Q14" s="169"/>
      <c r="S14" s="139"/>
    </row>
    <row r="15" spans="2:19" s="138" customFormat="1" ht="12" x14ac:dyDescent="0.15">
      <c r="B15" s="163"/>
      <c r="C15" s="164"/>
      <c r="D15" s="165"/>
      <c r="E15" s="187"/>
      <c r="G15" s="167"/>
      <c r="H15" s="168"/>
      <c r="I15" s="159"/>
      <c r="J15" s="159"/>
      <c r="K15" s="159"/>
      <c r="L15" s="159"/>
      <c r="M15" s="159"/>
      <c r="N15" s="159"/>
      <c r="O15" s="159"/>
      <c r="P15" s="159"/>
      <c r="Q15" s="169"/>
      <c r="S15" s="139"/>
    </row>
    <row r="16" spans="2:19" s="138" customFormat="1" ht="12" x14ac:dyDescent="0.15">
      <c r="B16" s="163"/>
      <c r="C16" s="164"/>
      <c r="D16" s="165"/>
      <c r="E16" s="187"/>
      <c r="G16" s="167"/>
      <c r="H16" s="168"/>
      <c r="I16" s="159"/>
      <c r="J16" s="159"/>
      <c r="K16" s="159"/>
      <c r="L16" s="159"/>
      <c r="M16" s="159"/>
      <c r="N16" s="159"/>
      <c r="O16" s="159"/>
      <c r="P16" s="159"/>
      <c r="Q16" s="169"/>
      <c r="S16" s="139"/>
    </row>
    <row r="17" spans="2:19" s="138" customFormat="1" ht="12" x14ac:dyDescent="0.15">
      <c r="B17" s="163"/>
      <c r="C17" s="164"/>
      <c r="D17" s="165"/>
      <c r="E17" s="187"/>
      <c r="G17" s="167"/>
      <c r="H17" s="168"/>
      <c r="I17" s="159"/>
      <c r="J17" s="159"/>
      <c r="K17" s="159"/>
      <c r="L17" s="159"/>
      <c r="M17" s="159"/>
      <c r="N17" s="159"/>
      <c r="O17" s="159"/>
      <c r="P17" s="159"/>
      <c r="Q17" s="169"/>
      <c r="S17" s="139"/>
    </row>
    <row r="18" spans="2:19" s="138" customFormat="1" ht="12" x14ac:dyDescent="0.15">
      <c r="B18" s="163"/>
      <c r="C18" s="164"/>
      <c r="D18" s="165"/>
      <c r="E18" s="187"/>
      <c r="G18" s="167"/>
      <c r="H18" s="168"/>
      <c r="I18" s="159"/>
      <c r="J18" s="159"/>
      <c r="K18" s="159"/>
      <c r="L18" s="159"/>
      <c r="M18" s="159"/>
      <c r="N18" s="159"/>
      <c r="O18" s="159"/>
      <c r="P18" s="159"/>
      <c r="Q18" s="169"/>
      <c r="S18" s="139"/>
    </row>
    <row r="19" spans="2:19" s="138" customFormat="1" ht="12" x14ac:dyDescent="0.15">
      <c r="B19" s="163"/>
      <c r="C19" s="164"/>
      <c r="D19" s="165"/>
      <c r="E19" s="187"/>
      <c r="G19" s="167"/>
      <c r="H19" s="168"/>
      <c r="I19" s="159"/>
      <c r="J19" s="159"/>
      <c r="K19" s="159"/>
      <c r="L19" s="159"/>
      <c r="M19" s="159"/>
      <c r="N19" s="159"/>
      <c r="O19" s="159"/>
      <c r="P19" s="159"/>
      <c r="Q19" s="169"/>
      <c r="S19" s="139"/>
    </row>
    <row r="20" spans="2:19" s="138" customFormat="1" ht="12" x14ac:dyDescent="0.15">
      <c r="B20" s="163"/>
      <c r="C20" s="164"/>
      <c r="D20" s="165"/>
      <c r="E20" s="187"/>
      <c r="G20" s="167"/>
      <c r="H20" s="168"/>
      <c r="I20" s="159"/>
      <c r="J20" s="159"/>
      <c r="K20" s="159"/>
      <c r="L20" s="159"/>
      <c r="M20" s="159"/>
      <c r="N20" s="159"/>
      <c r="O20" s="159"/>
      <c r="P20" s="159"/>
      <c r="Q20" s="169"/>
      <c r="S20" s="139"/>
    </row>
    <row r="21" spans="2:19" s="138" customFormat="1" ht="12" x14ac:dyDescent="0.15">
      <c r="B21" s="163"/>
      <c r="C21" s="164"/>
      <c r="D21" s="165"/>
      <c r="E21" s="187"/>
      <c r="G21" s="167"/>
      <c r="H21" s="168"/>
      <c r="I21" s="159"/>
      <c r="J21" s="159"/>
      <c r="K21" s="159"/>
      <c r="L21" s="159"/>
      <c r="M21" s="159"/>
      <c r="N21" s="159"/>
      <c r="O21" s="159"/>
      <c r="P21" s="159"/>
      <c r="Q21" s="169"/>
      <c r="S21" s="139"/>
    </row>
    <row r="22" spans="2:19" s="138" customFormat="1" ht="12" x14ac:dyDescent="0.15">
      <c r="B22" s="163"/>
      <c r="C22" s="164"/>
      <c r="D22" s="165"/>
      <c r="E22" s="187"/>
      <c r="G22" s="167"/>
      <c r="H22" s="168"/>
      <c r="I22" s="159"/>
      <c r="J22" s="159"/>
      <c r="K22" s="159"/>
      <c r="L22" s="159"/>
      <c r="M22" s="159"/>
      <c r="N22" s="159"/>
      <c r="O22" s="159"/>
      <c r="P22" s="159"/>
      <c r="Q22" s="169"/>
      <c r="S22" s="139"/>
    </row>
    <row r="23" spans="2:19" s="138" customFormat="1" ht="12" x14ac:dyDescent="0.15">
      <c r="B23" s="163"/>
      <c r="C23" s="164"/>
      <c r="D23" s="165"/>
      <c r="E23" s="187"/>
      <c r="G23" s="167"/>
      <c r="H23" s="168"/>
      <c r="I23" s="159"/>
      <c r="J23" s="159"/>
      <c r="K23" s="159"/>
      <c r="L23" s="159"/>
      <c r="M23" s="159"/>
      <c r="N23" s="159"/>
      <c r="O23" s="159"/>
      <c r="P23" s="159"/>
      <c r="Q23" s="169"/>
      <c r="S23" s="139"/>
    </row>
    <row r="24" spans="2:19" s="138" customFormat="1" ht="12" x14ac:dyDescent="0.15">
      <c r="B24" s="163"/>
      <c r="C24" s="164"/>
      <c r="D24" s="165"/>
      <c r="E24" s="187"/>
      <c r="G24" s="167"/>
      <c r="H24" s="168"/>
      <c r="I24" s="159"/>
      <c r="J24" s="159"/>
      <c r="K24" s="159"/>
      <c r="L24" s="159"/>
      <c r="M24" s="159"/>
      <c r="N24" s="159"/>
      <c r="O24" s="159"/>
      <c r="P24" s="159"/>
      <c r="Q24" s="169"/>
      <c r="S24" s="139"/>
    </row>
    <row r="25" spans="2:19" s="138" customFormat="1" ht="12" x14ac:dyDescent="0.15">
      <c r="B25" s="163"/>
      <c r="C25" s="164"/>
      <c r="D25" s="165"/>
      <c r="E25" s="166"/>
      <c r="G25" s="167"/>
      <c r="H25" s="168"/>
      <c r="I25" s="159"/>
      <c r="J25" s="159"/>
      <c r="K25" s="159"/>
      <c r="L25" s="159"/>
      <c r="M25" s="159"/>
      <c r="N25" s="159"/>
      <c r="O25" s="159"/>
      <c r="P25" s="159"/>
      <c r="Q25" s="169"/>
      <c r="S25" s="139"/>
    </row>
    <row r="26" spans="2:19" s="138" customFormat="1" ht="12" x14ac:dyDescent="0.15">
      <c r="B26" s="163"/>
      <c r="C26" s="164"/>
      <c r="D26" s="165"/>
      <c r="E26" s="166"/>
      <c r="G26" s="167"/>
      <c r="H26" s="168"/>
      <c r="I26" s="159"/>
      <c r="J26" s="159"/>
      <c r="K26" s="159"/>
      <c r="L26" s="159"/>
      <c r="M26" s="159"/>
      <c r="N26" s="159"/>
      <c r="O26" s="159"/>
      <c r="P26" s="159"/>
      <c r="Q26" s="169"/>
      <c r="S26" s="139"/>
    </row>
    <row r="27" spans="2:19" s="138" customFormat="1" ht="12.75" thickBot="1" x14ac:dyDescent="0.2">
      <c r="B27" s="170"/>
      <c r="C27" s="171"/>
      <c r="D27" s="172"/>
      <c r="E27" s="173"/>
      <c r="F27" s="174"/>
      <c r="G27" s="175"/>
      <c r="H27" s="176"/>
      <c r="I27" s="177"/>
      <c r="J27" s="177"/>
      <c r="K27" s="177"/>
      <c r="L27" s="177"/>
      <c r="M27" s="177"/>
      <c r="N27" s="177"/>
      <c r="O27" s="177"/>
      <c r="P27" s="178"/>
      <c r="Q27" s="179"/>
      <c r="S27" s="139"/>
    </row>
    <row r="28" spans="2:19" s="138" customFormat="1" ht="12.75" thickBot="1" x14ac:dyDescent="0.2">
      <c r="B28" s="143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S28" s="139"/>
    </row>
    <row r="29" spans="2:19" s="138" customFormat="1" ht="22.5" customHeight="1" thickBot="1" x14ac:dyDescent="0.2">
      <c r="B29" s="143"/>
      <c r="F29" s="141"/>
      <c r="G29" s="141" t="s">
        <v>141</v>
      </c>
      <c r="H29" s="180">
        <f>(SUM(H4:H27)+60)*1.2</f>
        <v>729.6</v>
      </c>
      <c r="I29" s="180">
        <f>(SUM(I4:I27)+60)*1.2</f>
        <v>481.2</v>
      </c>
      <c r="J29" s="180"/>
      <c r="K29" s="180"/>
      <c r="L29" s="180"/>
      <c r="M29" s="180"/>
      <c r="N29" s="180"/>
      <c r="O29" s="180"/>
      <c r="P29" s="180"/>
      <c r="Q29" s="180"/>
      <c r="S29" s="139"/>
    </row>
    <row r="30" spans="2:19" s="138" customFormat="1" ht="24.75" customHeight="1" x14ac:dyDescent="0.15">
      <c r="B30" s="143"/>
      <c r="E30" s="181"/>
      <c r="F30" s="182"/>
      <c r="G30" s="182" t="s">
        <v>142</v>
      </c>
      <c r="H30" s="183" t="s">
        <v>197</v>
      </c>
      <c r="I30" s="183" t="s">
        <v>196</v>
      </c>
      <c r="J30" s="183"/>
      <c r="K30" s="183"/>
      <c r="L30" s="183"/>
      <c r="M30" s="183"/>
      <c r="N30" s="183"/>
      <c r="O30" s="183"/>
      <c r="P30" s="184"/>
      <c r="Q30" s="184"/>
      <c r="S30" s="139"/>
    </row>
    <row r="31" spans="2:19" s="138" customFormat="1" ht="24.75" customHeight="1" x14ac:dyDescent="0.15">
      <c r="B31" s="143"/>
      <c r="F31" s="141"/>
      <c r="G31" s="141"/>
      <c r="H31" s="185"/>
      <c r="I31" s="185"/>
      <c r="J31" s="185"/>
      <c r="K31" s="186"/>
      <c r="L31" s="186"/>
      <c r="M31" s="186"/>
      <c r="N31" s="186"/>
      <c r="O31" s="185"/>
      <c r="P31" s="186"/>
      <c r="Q31" s="186"/>
      <c r="S31" s="139"/>
    </row>
  </sheetData>
  <phoneticPr fontId="2"/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"/>
  <sheetViews>
    <sheetView view="pageBreakPreview" zoomScale="250" zoomScaleNormal="100" zoomScaleSheetLayoutView="250" workbookViewId="0">
      <selection activeCell="C13" sqref="C13"/>
    </sheetView>
  </sheetViews>
  <sheetFormatPr defaultRowHeight="13.5" x14ac:dyDescent="0.15"/>
  <cols>
    <col min="3" max="3" width="5.25" bestFit="1" customWidth="1"/>
    <col min="4" max="4" width="3.375" bestFit="1" customWidth="1"/>
    <col min="5" max="5" width="3.5" bestFit="1" customWidth="1"/>
    <col min="6" max="6" width="3.375" bestFit="1" customWidth="1"/>
    <col min="7" max="7" width="6.875" bestFit="1" customWidth="1"/>
    <col min="8" max="8" width="3.375" bestFit="1" customWidth="1"/>
    <col min="9" max="9" width="3.5" bestFit="1" customWidth="1"/>
    <col min="10" max="10" width="3.375" bestFit="1" customWidth="1"/>
    <col min="11" max="11" width="3.5" bestFit="1" customWidth="1"/>
    <col min="12" max="12" width="3.375" bestFit="1" customWidth="1"/>
    <col min="13" max="13" width="5.25" bestFit="1" customWidth="1"/>
    <col min="14" max="14" width="6" bestFit="1" customWidth="1"/>
  </cols>
  <sheetData>
    <row r="1" spans="1:14" x14ac:dyDescent="0.15">
      <c r="A1" t="s">
        <v>74</v>
      </c>
    </row>
    <row r="2" spans="1:14" x14ac:dyDescent="0.15">
      <c r="A2" s="88"/>
      <c r="B2" s="88"/>
      <c r="C2" s="89" t="s">
        <v>76</v>
      </c>
      <c r="D2" s="90"/>
      <c r="E2" s="89" t="s">
        <v>79</v>
      </c>
      <c r="F2" s="90"/>
      <c r="G2" s="89" t="s">
        <v>80</v>
      </c>
      <c r="H2" s="90"/>
      <c r="I2" s="89" t="s">
        <v>81</v>
      </c>
      <c r="J2" s="90"/>
      <c r="K2" s="89" t="s">
        <v>82</v>
      </c>
      <c r="L2" s="90"/>
      <c r="M2" s="89"/>
      <c r="N2" s="90"/>
    </row>
    <row r="3" spans="1:14" x14ac:dyDescent="0.15">
      <c r="A3" s="88" t="s">
        <v>85</v>
      </c>
      <c r="B3" s="88" t="s">
        <v>75</v>
      </c>
      <c r="C3" s="88" t="s">
        <v>77</v>
      </c>
      <c r="D3" s="88" t="s">
        <v>78</v>
      </c>
      <c r="E3" s="88" t="s">
        <v>77</v>
      </c>
      <c r="F3" s="88" t="s">
        <v>78</v>
      </c>
      <c r="G3" s="88" t="s">
        <v>77</v>
      </c>
      <c r="H3" s="88" t="s">
        <v>78</v>
      </c>
      <c r="I3" s="88" t="s">
        <v>77</v>
      </c>
      <c r="J3" s="88" t="s">
        <v>78</v>
      </c>
      <c r="K3" s="88" t="s">
        <v>77</v>
      </c>
      <c r="L3" s="88" t="s">
        <v>78</v>
      </c>
      <c r="M3" s="88" t="s">
        <v>83</v>
      </c>
      <c r="N3" s="88" t="s">
        <v>84</v>
      </c>
    </row>
    <row r="4" spans="1:14" x14ac:dyDescent="0.15">
      <c r="A4" s="88" t="s">
        <v>86</v>
      </c>
      <c r="B4" s="88">
        <f t="shared" ref="B4:B9" si="0">+SUM(C4:N4)</f>
        <v>43</v>
      </c>
      <c r="C4" s="88">
        <v>25</v>
      </c>
      <c r="D4" s="88"/>
      <c r="E4" s="88">
        <v>5</v>
      </c>
      <c r="F4" s="88">
        <v>6</v>
      </c>
      <c r="G4" s="88"/>
      <c r="H4" s="88"/>
      <c r="I4" s="88"/>
      <c r="J4" s="88"/>
      <c r="K4" s="88"/>
      <c r="L4" s="88"/>
      <c r="M4" s="88">
        <v>5</v>
      </c>
      <c r="N4" s="88">
        <v>2</v>
      </c>
    </row>
    <row r="5" spans="1:14" x14ac:dyDescent="0.15">
      <c r="A5" s="88" t="s">
        <v>87</v>
      </c>
      <c r="B5" s="88">
        <f t="shared" si="0"/>
        <v>54</v>
      </c>
      <c r="C5" s="88">
        <v>25</v>
      </c>
      <c r="D5" s="88"/>
      <c r="E5" s="88"/>
      <c r="F5" s="88">
        <v>6</v>
      </c>
      <c r="G5" s="88">
        <v>10</v>
      </c>
      <c r="H5" s="88">
        <v>6</v>
      </c>
      <c r="I5" s="88"/>
      <c r="J5" s="88"/>
      <c r="K5" s="88"/>
      <c r="L5" s="88"/>
      <c r="M5" s="88">
        <v>5</v>
      </c>
      <c r="N5" s="88">
        <v>2</v>
      </c>
    </row>
    <row r="6" spans="1:14" x14ac:dyDescent="0.15">
      <c r="A6" s="88" t="s">
        <v>88</v>
      </c>
      <c r="B6" s="88">
        <f t="shared" si="0"/>
        <v>60</v>
      </c>
      <c r="C6" s="88">
        <v>25</v>
      </c>
      <c r="D6" s="88"/>
      <c r="E6" s="88"/>
      <c r="F6" s="88">
        <v>6</v>
      </c>
      <c r="G6" s="88"/>
      <c r="H6" s="88">
        <v>6</v>
      </c>
      <c r="I6" s="88">
        <v>10</v>
      </c>
      <c r="J6" s="88">
        <v>6</v>
      </c>
      <c r="K6" s="88"/>
      <c r="L6" s="88"/>
      <c r="M6" s="88">
        <v>5</v>
      </c>
      <c r="N6" s="88">
        <v>2</v>
      </c>
    </row>
    <row r="7" spans="1:14" x14ac:dyDescent="0.15">
      <c r="A7" s="88" t="s">
        <v>89</v>
      </c>
      <c r="B7" s="88">
        <f t="shared" si="0"/>
        <v>65</v>
      </c>
      <c r="C7" s="88">
        <v>25</v>
      </c>
      <c r="D7" s="88"/>
      <c r="E7" s="88"/>
      <c r="F7" s="88">
        <v>6</v>
      </c>
      <c r="G7" s="88"/>
      <c r="H7" s="88">
        <v>6</v>
      </c>
      <c r="I7" s="88"/>
      <c r="J7" s="88">
        <v>6</v>
      </c>
      <c r="K7" s="88">
        <v>10</v>
      </c>
      <c r="L7" s="88">
        <v>5</v>
      </c>
      <c r="M7" s="88">
        <v>5</v>
      </c>
      <c r="N7" s="88">
        <v>2</v>
      </c>
    </row>
    <row r="8" spans="1:14" x14ac:dyDescent="0.15">
      <c r="A8" s="88" t="s">
        <v>97</v>
      </c>
      <c r="B8" s="88">
        <f t="shared" si="0"/>
        <v>75</v>
      </c>
      <c r="C8" s="88">
        <v>25</v>
      </c>
      <c r="D8" s="88"/>
      <c r="E8" s="88"/>
      <c r="F8" s="88">
        <v>6</v>
      </c>
      <c r="G8" s="88"/>
      <c r="H8" s="88">
        <v>6</v>
      </c>
      <c r="I8" s="88"/>
      <c r="J8" s="88">
        <v>6</v>
      </c>
      <c r="K8" s="88">
        <v>20</v>
      </c>
      <c r="L8" s="88">
        <v>5</v>
      </c>
      <c r="M8" s="88">
        <v>5</v>
      </c>
      <c r="N8" s="88">
        <v>2</v>
      </c>
    </row>
    <row r="9" spans="1:14" x14ac:dyDescent="0.15">
      <c r="A9" s="88" t="s">
        <v>90</v>
      </c>
      <c r="B9" s="88">
        <f t="shared" si="0"/>
        <v>43</v>
      </c>
      <c r="C9" s="88">
        <v>25</v>
      </c>
      <c r="D9" s="88"/>
      <c r="E9" s="88">
        <v>5</v>
      </c>
      <c r="F9" s="88">
        <v>6</v>
      </c>
      <c r="G9" s="88"/>
      <c r="H9" s="88"/>
      <c r="I9" s="88"/>
      <c r="J9" s="88"/>
      <c r="K9" s="88"/>
      <c r="L9" s="88"/>
      <c r="M9" s="88">
        <v>5</v>
      </c>
      <c r="N9" s="88">
        <v>2</v>
      </c>
    </row>
    <row r="10" spans="1:14" x14ac:dyDescent="0.15">
      <c r="A10" s="88" t="s">
        <v>95</v>
      </c>
      <c r="B10" s="88">
        <f t="shared" ref="B10:B17" si="1">+SUM(C10:N10)</f>
        <v>21</v>
      </c>
      <c r="C10" s="88">
        <v>17</v>
      </c>
      <c r="D10" s="88"/>
      <c r="E10" s="88"/>
      <c r="F10" s="88"/>
      <c r="G10" s="88"/>
      <c r="H10" s="88"/>
      <c r="I10" s="88"/>
      <c r="J10" s="88"/>
      <c r="K10" s="88"/>
      <c r="L10" s="88"/>
      <c r="M10" s="88">
        <v>2</v>
      </c>
      <c r="N10" s="88">
        <v>2</v>
      </c>
    </row>
    <row r="11" spans="1:14" x14ac:dyDescent="0.15">
      <c r="A11" s="88" t="s">
        <v>91</v>
      </c>
      <c r="B11" s="88">
        <f t="shared" si="1"/>
        <v>54</v>
      </c>
      <c r="C11" s="88">
        <v>25</v>
      </c>
      <c r="D11" s="88"/>
      <c r="E11" s="88"/>
      <c r="F11" s="88">
        <v>6</v>
      </c>
      <c r="G11" s="88">
        <v>10</v>
      </c>
      <c r="H11" s="88">
        <v>6</v>
      </c>
      <c r="I11" s="88"/>
      <c r="J11" s="88"/>
      <c r="K11" s="88"/>
      <c r="L11" s="88"/>
      <c r="M11" s="88">
        <v>5</v>
      </c>
      <c r="N11" s="88">
        <v>2</v>
      </c>
    </row>
    <row r="12" spans="1:14" x14ac:dyDescent="0.15">
      <c r="A12" s="88" t="s">
        <v>92</v>
      </c>
      <c r="B12" s="88">
        <f t="shared" si="1"/>
        <v>60</v>
      </c>
      <c r="C12" s="88">
        <v>25</v>
      </c>
      <c r="D12" s="88"/>
      <c r="E12" s="88"/>
      <c r="F12" s="88">
        <v>6</v>
      </c>
      <c r="G12" s="88"/>
      <c r="H12" s="88">
        <v>6</v>
      </c>
      <c r="I12" s="88">
        <v>10</v>
      </c>
      <c r="J12" s="88">
        <v>6</v>
      </c>
      <c r="K12" s="88"/>
      <c r="L12" s="88"/>
      <c r="M12" s="88">
        <v>5</v>
      </c>
      <c r="N12" s="88">
        <v>2</v>
      </c>
    </row>
    <row r="13" spans="1:14" x14ac:dyDescent="0.15">
      <c r="A13" s="88" t="s">
        <v>93</v>
      </c>
      <c r="B13" s="88">
        <f t="shared" si="1"/>
        <v>70</v>
      </c>
      <c r="C13" s="88">
        <v>25</v>
      </c>
      <c r="D13" s="88"/>
      <c r="E13" s="88"/>
      <c r="F13" s="88">
        <v>6</v>
      </c>
      <c r="G13" s="88"/>
      <c r="H13" s="88">
        <v>6</v>
      </c>
      <c r="I13" s="88"/>
      <c r="J13" s="88">
        <v>6</v>
      </c>
      <c r="K13" s="88">
        <v>15</v>
      </c>
      <c r="L13" s="88">
        <v>5</v>
      </c>
      <c r="M13" s="88">
        <v>5</v>
      </c>
      <c r="N13" s="88">
        <v>2</v>
      </c>
    </row>
    <row r="14" spans="1:14" x14ac:dyDescent="0.15">
      <c r="A14" s="88" t="s">
        <v>94</v>
      </c>
      <c r="B14" s="88">
        <f t="shared" si="1"/>
        <v>17</v>
      </c>
      <c r="C14" s="88"/>
      <c r="D14" s="88">
        <v>10</v>
      </c>
      <c r="E14" s="88"/>
      <c r="F14" s="88"/>
      <c r="G14" s="88"/>
      <c r="H14" s="88"/>
      <c r="I14" s="88"/>
      <c r="J14" s="88"/>
      <c r="K14" s="88"/>
      <c r="L14" s="88"/>
      <c r="M14" s="88">
        <v>5</v>
      </c>
      <c r="N14" s="88">
        <v>2</v>
      </c>
    </row>
    <row r="15" spans="1:14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</row>
    <row r="16" spans="1:14" x14ac:dyDescent="0.15">
      <c r="A16" s="88" t="s">
        <v>96</v>
      </c>
      <c r="B16" s="88">
        <f t="shared" ref="B16:B18" si="2">+SUM(C16:N16)</f>
        <v>70</v>
      </c>
      <c r="C16" s="88">
        <v>25</v>
      </c>
      <c r="D16" s="88"/>
      <c r="E16" s="88"/>
      <c r="F16" s="88">
        <v>6</v>
      </c>
      <c r="G16" s="88"/>
      <c r="H16" s="88">
        <v>6</v>
      </c>
      <c r="I16" s="88"/>
      <c r="J16" s="88">
        <v>6</v>
      </c>
      <c r="K16" s="88">
        <v>15</v>
      </c>
      <c r="L16" s="88">
        <v>5</v>
      </c>
      <c r="M16" s="88">
        <v>5</v>
      </c>
      <c r="N16" s="88">
        <v>2</v>
      </c>
    </row>
    <row r="17" spans="1:14" x14ac:dyDescent="0.15">
      <c r="A17" s="88"/>
      <c r="B17" s="88">
        <f t="shared" si="1"/>
        <v>0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</row>
    <row r="18" spans="1:14" x14ac:dyDescent="0.15">
      <c r="A18" s="88" t="s">
        <v>98</v>
      </c>
      <c r="B18" s="88">
        <f t="shared" si="2"/>
        <v>70</v>
      </c>
      <c r="C18" s="88">
        <v>25</v>
      </c>
      <c r="D18" s="88"/>
      <c r="E18" s="88"/>
      <c r="F18" s="88">
        <v>6</v>
      </c>
      <c r="G18" s="88"/>
      <c r="H18" s="88">
        <v>6</v>
      </c>
      <c r="I18" s="88"/>
      <c r="J18" s="88">
        <v>6</v>
      </c>
      <c r="K18" s="88">
        <v>15</v>
      </c>
      <c r="L18" s="88">
        <v>5</v>
      </c>
      <c r="M18" s="88">
        <v>5</v>
      </c>
      <c r="N18" s="88">
        <v>2</v>
      </c>
    </row>
    <row r="19" spans="1:14" x14ac:dyDescent="0.1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</row>
    <row r="20" spans="1:14" x14ac:dyDescent="0.15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</row>
    <row r="21" spans="1:14" x14ac:dyDescent="0.15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</row>
    <row r="22" spans="1:14" x14ac:dyDescent="0.15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</row>
    <row r="23" spans="1:14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</row>
    <row r="24" spans="1:14" x14ac:dyDescent="0.1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</row>
    <row r="25" spans="1:14" x14ac:dyDescent="0.1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</row>
    <row r="26" spans="1:14" x14ac:dyDescent="0.15">
      <c r="A26" s="88"/>
      <c r="B26" s="88">
        <f t="shared" ref="B26:B29" si="3">+SUM(C26:N26)</f>
        <v>0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1:14" x14ac:dyDescent="0.15">
      <c r="A27" s="88"/>
      <c r="B27" s="88">
        <f t="shared" si="3"/>
        <v>0</v>
      </c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</row>
    <row r="28" spans="1:14" x14ac:dyDescent="0.15">
      <c r="A28" s="88"/>
      <c r="B28" s="88">
        <f t="shared" si="3"/>
        <v>0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</row>
    <row r="29" spans="1:14" x14ac:dyDescent="0.15">
      <c r="A29" s="88"/>
      <c r="B29" s="88">
        <f t="shared" si="3"/>
        <v>0</v>
      </c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様式電⑧-2電圧降下（分岐）</vt:lpstr>
      <vt:lpstr>電圧降下</vt:lpstr>
      <vt:lpstr>長さ</vt:lpstr>
      <vt:lpstr>ラック</vt:lpstr>
      <vt:lpstr>亘長</vt:lpstr>
      <vt:lpstr>ラック!Print_Area</vt:lpstr>
      <vt:lpstr>電圧降下!Print_Area</vt:lpstr>
      <vt:lpstr>'様式電⑧-2電圧降下（分岐）'!Print_Area</vt:lpstr>
      <vt:lpstr>ラック!Print_Titles</vt:lpstr>
      <vt:lpstr>電圧降下!Print_Titles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2015-07-21T04:54:34Z</dcterms:created>
  <dcterms:modified xsi:type="dcterms:W3CDTF">2025-02-10T11:32:34Z</dcterms:modified>
</cp:coreProperties>
</file>